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xmlns:r="http://schemas.openxmlformats.org/officeDocument/2006/relationships" name="Credit Card Tool" sheetId="1" state="visible" r:id="rId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#"/>
  </numFmts>
  <fonts count="5">
    <font>
      <name val="Arial"/>
      <color rgb="FF000000"/>
      <sz val="10"/>
      <scheme val="minor"/>
    </font>
    <font>
      <name val="Lato"/>
      <b val="1"/>
      <color theme="1"/>
      <sz val="10"/>
    </font>
    <font>
      <name val="Lato"/>
      <color theme="1"/>
      <sz val="10"/>
    </font>
    <font>
      <name val="Lato"/>
      <b val="1"/>
      <i val="1"/>
      <color theme="1"/>
      <sz val="10"/>
    </font>
    <font>
      <name val="Arial"/>
      <family val="2"/>
      <color theme="1"/>
      <sz val="10"/>
      <scheme val="minor"/>
    </font>
  </fonts>
  <fills count="13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DBDBD"/>
        <bgColor rgb="FFBDBDBD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164" fontId="3" fillId="9" borderId="0" applyAlignment="1" pivotButton="0" quotePrefix="0" xfId="0">
      <alignment horizontal="right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right" vertical="center" wrapText="1"/>
    </xf>
    <xf numFmtId="0" fontId="3" fillId="7" borderId="0" applyAlignment="1" pivotButton="0" quotePrefix="0" xfId="0">
      <alignment horizontal="right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right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right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right" vertical="center" wrapText="1"/>
    </xf>
    <xf numFmtId="0" fontId="3" fillId="1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right" vertical="center"/>
    </xf>
    <xf numFmtId="3" fontId="1" fillId="2" borderId="0" applyAlignment="1" pivotButton="0" quotePrefix="0" xfId="0">
      <alignment horizontal="right" vertical="center"/>
    </xf>
    <xf numFmtId="3" fontId="2" fillId="9" borderId="0" applyAlignment="1" pivotButton="0" quotePrefix="0" xfId="0">
      <alignment horizontal="right" vertical="center"/>
    </xf>
    <xf numFmtId="164" fontId="2" fillId="9" borderId="0" applyAlignment="1" pivotButton="0" quotePrefix="0" xfId="0">
      <alignment horizontal="right" vertical="center"/>
    </xf>
    <xf numFmtId="3" fontId="1" fillId="3" borderId="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3" fontId="2" fillId="7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3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4" fontId="2" fillId="4" borderId="0" applyAlignment="1" pivotButton="0" quotePrefix="0" xfId="0">
      <alignment horizontal="right" vertical="center"/>
    </xf>
    <xf numFmtId="3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3" fontId="2" fillId="10" borderId="0" applyAlignment="1" pivotButton="0" quotePrefix="0" xfId="0">
      <alignment horizontal="right" vertical="center"/>
    </xf>
    <xf numFmtId="164" fontId="2" fillId="10" borderId="0" applyAlignment="1" pivotButton="0" quotePrefix="0" xfId="0">
      <alignment horizontal="right" vertical="center"/>
    </xf>
    <xf numFmtId="4" fontId="2" fillId="3" borderId="0" applyAlignment="1" pivotButton="0" quotePrefix="0" xfId="0">
      <alignment horizontal="right" vertical="center"/>
    </xf>
    <xf numFmtId="3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3" fontId="2" fillId="12" borderId="0" applyAlignment="1" pivotButton="0" quotePrefix="0" xfId="0">
      <alignment horizontal="right" vertical="center"/>
    </xf>
    <xf numFmtId="164" fontId="2" fillId="12" borderId="0" applyAlignment="1" pivotButton="0" quotePrefix="0" xfId="0">
      <alignment horizontal="right" vertical="center"/>
    </xf>
    <xf numFmtId="14" fontId="3" fillId="3" borderId="0" applyAlignment="1" pivotButton="0" quotePrefix="0" xfId="0">
      <alignment horizontal="center" vertical="center"/>
    </xf>
    <xf numFmtId="49" fontId="3" fillId="3" borderId="0" applyAlignment="1" pivotButton="0" quotePrefix="0" xfId="0">
      <alignment horizontal="left" vertical="center"/>
    </xf>
    <xf numFmtId="49" fontId="3" fillId="4" borderId="0" applyAlignment="1" pivotButton="0" quotePrefix="0" xfId="0">
      <alignment horizontal="left" vertical="center"/>
    </xf>
    <xf numFmtId="164" fontId="2" fillId="3" borderId="0" applyAlignment="1" pivotButton="0" quotePrefix="0" xfId="0">
      <alignment vertical="center"/>
    </xf>
    <xf numFmtId="4" fontId="1" fillId="3" borderId="0" applyAlignment="1" pivotButton="0" quotePrefix="0" xfId="0">
      <alignment horizontal="right" vertical="center"/>
    </xf>
    <xf numFmtId="164" fontId="2" fillId="4" borderId="0" applyAlignment="1" pivotButton="0" quotePrefix="0" xfId="0">
      <alignment vertical="center"/>
    </xf>
    <xf numFmtId="4" fontId="1" fillId="4" borderId="0" applyAlignment="1" pivotButton="0" quotePrefix="0" xfId="0">
      <alignment horizontal="right" vertical="center"/>
    </xf>
    <xf numFmtId="4" fontId="2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4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right" vertical="center"/>
    </xf>
    <xf numFmtId="0" fontId="0" fillId="0" borderId="0" pivotButton="0" quotePrefix="0" xfId="0"/>
    <xf numFmtId="3" fontId="1" fillId="3" borderId="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right" vertical="center"/>
    </xf>
    <xf numFmtId="4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3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4" fontId="3" fillId="3" borderId="0" applyAlignment="1" pivotButton="0" quotePrefix="0" xfId="0">
      <alignment horizontal="center" vertical="center"/>
    </xf>
    <xf numFmtId="14" fontId="3" fillId="4" borderId="0" applyAlignment="1" pivotButton="0" quotePrefix="0" xfId="0">
      <alignment horizontal="center" vertical="center"/>
    </xf>
    <xf numFmtId="164" fontId="3" fillId="9" borderId="0" applyAlignment="1" pivotButton="0" quotePrefix="0" xfId="0">
      <alignment horizontal="right" vertical="center" wrapText="1"/>
    </xf>
    <xf numFmtId="164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right" vertical="center"/>
    </xf>
    <xf numFmtId="164" fontId="2" fillId="9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10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right" vertical="center"/>
    </xf>
    <xf numFmtId="164" fontId="2" fillId="12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4" fontId="2" fillId="3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</cellXfs>
  <cellStyles count="1">
    <cellStyle name="Normal" xfId="0" builtinId="0"/>
  </cellStyles>
  <dxfs count="1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5" defaultTableStyle="TableStyleMedium9" defaultPivotStyle="PivotStyleLight16">
    <tableStyle name="Spending-style" pivot="0" count="3">
      <tableStyleElement type="headerRow" dxfId="14"/>
      <tableStyleElement type="firstRowStripe" dxfId="13"/>
      <tableStyleElement type="secondRowStripe" dxfId="12"/>
    </tableStyle>
    <tableStyle name="Future Costs-style" pivot="0" count="3">
      <tableStyleElement type="headerRow" dxfId="11"/>
      <tableStyleElement type="firstRowStripe" dxfId="10"/>
      <tableStyleElement type="secondRowStripe" dxfId="9"/>
    </tableStyle>
    <tableStyle name="AutoPay-style" pivot="0" count="3">
      <tableStyleElement type="headerRow" dxfId="8"/>
      <tableStyleElement type="firstRowStripe" dxfId="7"/>
      <tableStyleElement type="secondRowStripe" dxfId="6"/>
    </tableStyle>
    <tableStyle name="Redemptions-style" pivot="0" count="3">
      <tableStyleElement type="headerRow" dxfId="5"/>
      <tableStyleElement type="firstRowStripe" dxfId="4"/>
      <tableStyleElement type="secondRowStripe" dxfId="3"/>
    </tableStyle>
    <tableStyle name="Card Strategy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V2" authorId="0" shapeId="0">
      <text>
        <t>CPP = 1 if no Sapphire card is chosen.</t>
      </text>
    </comment>
    <comment ref="X2" authorId="0" shapeId="0">
      <text>
        <t>CPP = 1 if no Sapphire card is chosen.</t>
      </text>
    </comment>
    <comment ref="V5" authorId="0" shapeId="0">
      <text>
        <t>CPP = 1 if no Sapphire card is chosen.</t>
      </text>
    </comment>
    <comment ref="X5" authorId="0" shapeId="0">
      <text>
        <t>CPP = 1 if no Sapphire card is chosen.</t>
      </text>
    </comment>
    <comment ref="AT7" authorId="0" shapeId="0">
      <text>
        <t>$0 Year 1, $150 After</t>
      </text>
    </comment>
    <comment ref="AV7" authorId="0" shapeId="0">
      <text>
        <t>$0 Year 1, $150 After</t>
      </text>
    </comment>
    <comment ref="D15" authorId="0" shapeId="0">
      <text>
        <t xml:space="preserve">Calculates how many points you would earn if you spent the extra money on alternative cards on average and subtracts that from your current SUB points earned.
</t>
      </text>
    </comment>
    <comment ref="D16" authorId="0" shapeId="0">
      <text>
        <t>Opportunity cost from SUBs from other cards absorbed by this card in points.</t>
      </text>
    </comment>
    <comment ref="AE20" authorId="0" shapeId="0">
      <text>
        <t>Avg. Citi Nights 6x and Non-Citi Nights 3x</t>
      </text>
    </comment>
    <comment ref="AQ20" authorId="0" shapeId="0">
      <text>
        <t>1x Bonus on either Dining or Groceries</t>
      </text>
    </comment>
    <comment ref="AY20" authorId="0" shapeId="0">
      <text>
        <t>1x Bonus on either Dining or Groceries</t>
      </text>
    </comment>
    <comment ref="AQ21" authorId="0" shapeId="0">
      <text>
        <t>1x Bonus on either Dining or Groceries</t>
      </text>
    </comment>
    <comment ref="AY21" authorId="0" shapeId="0">
      <text>
        <t>1x Bonus on either Dining or Groceries</t>
      </text>
    </comment>
    <comment ref="D35" authorId="0" shapeId="0">
      <text>
        <t>Accounts for overlap by multiplying everyday spending categories by 0.875.</t>
      </text>
    </comment>
    <comment ref="F37" authorId="0" shapeId="0">
      <text>
        <t>Hotel Collection: 2 Night Minimum
Fine Hotels &amp; Resorts: 1 Night Minimum</t>
      </text>
    </comment>
    <comment ref="N37" authorId="0" shapeId="0">
      <text>
        <t>2 Night Minimum</t>
      </text>
    </comment>
    <comment ref="F39" authorId="0" shapeId="0">
      <text>
        <t>National Emerald Club Executive Status
Hertz Gold Plus Rewards
Avis Preferred Plus
Secondary Rental Insurance</t>
      </text>
    </comment>
    <comment ref="N39" authorId="0" shapeId="0">
      <text>
        <t>National Emerald Club Executive Status
Hertz Gold Plus Rewards
Avis Preferred Plus
Primary Rental Insurance</t>
      </text>
    </comment>
    <comment ref="Z39" authorId="0" shapeId="0">
      <text>
        <t>Primary Rental Insurance</t>
      </text>
    </comment>
    <comment ref="F40" authorId="0" shapeId="0">
      <text>
        <t>10x Delta SkyClub
Plaza Premium
Escape
Airspace</t>
      </text>
    </comment>
    <comment ref="AX42" authorId="0" shapeId="0">
      <text>
        <t>U.S., Mexico, Caribbean, Central America</t>
      </text>
    </comment>
    <comment ref="AZ42" authorId="0" shapeId="0">
      <text>
        <t>U.S., Mexico, Caribbean, Central America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48"/>
  <sheetViews>
    <sheetView showGridLines="0" tabSelected="1" zoomScale="120" zoomScaleNormal="12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13" sqref="H13:I13"/>
    </sheetView>
  </sheetViews>
  <sheetFormatPr baseColWidth="10" defaultColWidth="12.6640625" defaultRowHeight="15.75" customHeight="1"/>
  <cols>
    <col width="9.83203125" customWidth="1" style="58" min="1" max="3"/>
    <col width="18.1640625" customWidth="1" style="58" min="4" max="4"/>
    <col width="7.6640625" customWidth="1" style="58" min="5" max="5"/>
    <col width="18.6640625" customWidth="1" style="58" min="6" max="6"/>
    <col width="6" customWidth="1" style="58" min="7" max="7"/>
    <col width="18.6640625" customWidth="1" style="58" min="8" max="8"/>
    <col width="6" customWidth="1" style="58" min="9" max="9"/>
    <col width="18.6640625" customWidth="1" style="58" min="10" max="10"/>
    <col width="6" customWidth="1" style="58" min="11" max="11"/>
    <col width="18.6640625" customWidth="1" style="58" min="12" max="12"/>
    <col width="6" customWidth="1" style="58" min="13" max="13"/>
    <col width="18.6640625" customWidth="1" style="58" min="14" max="14"/>
    <col width="6" customWidth="1" style="58" min="15" max="15"/>
    <col width="18.6640625" customWidth="1" style="58" min="16" max="16"/>
    <col width="6" customWidth="1" style="58" min="17" max="17"/>
    <col width="18.6640625" customWidth="1" style="58" min="18" max="18"/>
    <col width="6" customWidth="1" style="58" min="19" max="19"/>
    <col width="18.6640625" customWidth="1" style="58" min="20" max="20"/>
    <col width="6" customWidth="1" style="58" min="21" max="21"/>
    <col width="18.6640625" customWidth="1" style="58" min="22" max="22"/>
    <col width="6" customWidth="1" style="58" min="23" max="23"/>
    <col width="18.6640625" customWidth="1" style="58" min="24" max="24"/>
    <col width="6" customWidth="1" style="58" min="25" max="25"/>
    <col width="18.6640625" customWidth="1" style="58" min="26" max="26"/>
    <col width="6" customWidth="1" style="58" min="27" max="27"/>
    <col width="18.6640625" customWidth="1" style="58" min="28" max="28"/>
    <col width="6" customWidth="1" style="58" min="29" max="29"/>
    <col width="18.6640625" customWidth="1" style="58" min="30" max="30"/>
    <col width="6" customWidth="1" style="58" min="31" max="31"/>
    <col width="18.6640625" customWidth="1" style="58" min="32" max="32"/>
    <col width="6" customWidth="1" style="58" min="33" max="33"/>
    <col width="18.6640625" customWidth="1" style="58" min="34" max="34"/>
    <col width="6" customWidth="1" style="58" min="35" max="35"/>
    <col width="18.6640625" customWidth="1" style="58" min="36" max="36"/>
    <col width="6" customWidth="1" style="58" min="37" max="37"/>
    <col width="18.6640625" customWidth="1" style="58" min="38" max="38"/>
    <col width="6" customWidth="1" style="58" min="39" max="39"/>
    <col width="18.6640625" customWidth="1" style="58" min="40" max="40"/>
    <col width="6" customWidth="1" style="58" min="41" max="41"/>
    <col width="18.6640625" customWidth="1" style="58" min="42" max="42"/>
    <col width="6" customWidth="1" style="58" min="43" max="43"/>
    <col width="18.6640625" customWidth="1" style="58" min="44" max="44"/>
    <col width="6" customWidth="1" style="58" min="45" max="45"/>
    <col width="18.6640625" customWidth="1" style="58" min="46" max="46"/>
    <col width="6" customWidth="1" style="58" min="47" max="47"/>
    <col width="18.6640625" customWidth="1" style="58" min="48" max="48"/>
    <col width="6" customWidth="1" style="58" min="49" max="49"/>
    <col width="18.6640625" customWidth="1" style="58" min="50" max="50"/>
    <col width="6" customWidth="1" style="58" min="51" max="51"/>
    <col width="18.6640625" customWidth="1" style="58" min="52" max="52"/>
    <col width="6" customWidth="1" style="58" min="53" max="53"/>
    <col width="18.6640625" customWidth="1" style="58" min="54" max="54"/>
    <col width="6" customWidth="1" style="58" min="55" max="55"/>
    <col width="18.6640625" customWidth="1" style="58" min="56" max="56"/>
    <col width="6" customWidth="1" style="58" min="57" max="57"/>
  </cols>
  <sheetData>
    <row r="1" ht="31.5" customHeight="1" s="58">
      <c r="A1" s="78" t="inlineStr">
        <is>
          <t>Years Counted:</t>
        </is>
      </c>
      <c r="C1" s="78" t="n">
        <v>2</v>
      </c>
      <c r="D1" s="78" t="inlineStr">
        <is>
          <t>Categories</t>
        </is>
      </c>
      <c r="E1" s="78" t="inlineStr">
        <is>
          <t>Spend</t>
        </is>
      </c>
      <c r="F1" s="85" t="inlineStr">
        <is>
          <t>American Express Platinum</t>
        </is>
      </c>
      <c r="G1" s="7" t="b">
        <v>0</v>
      </c>
      <c r="H1" s="8" t="inlineStr">
        <is>
          <t>American Express Gold</t>
        </is>
      </c>
      <c r="I1" s="7" t="b">
        <v>1</v>
      </c>
      <c r="J1" s="8" t="inlineStr">
        <is>
          <t>American Express Business Gold</t>
        </is>
      </c>
      <c r="K1" s="7" t="b">
        <v>0</v>
      </c>
      <c r="L1" s="8" t="inlineStr">
        <is>
          <t>American Express Blue Business Plus</t>
        </is>
      </c>
      <c r="M1" s="7" t="b">
        <v>0</v>
      </c>
      <c r="N1" s="9" t="inlineStr">
        <is>
          <t>Chase Sapphire Reserve</t>
        </is>
      </c>
      <c r="O1" s="10" t="b">
        <v>0</v>
      </c>
      <c r="P1" s="9" t="inlineStr">
        <is>
          <t>Chase Sapphire Preferred</t>
        </is>
      </c>
      <c r="Q1" s="10" t="b">
        <v>0</v>
      </c>
      <c r="R1" s="9" t="inlineStr">
        <is>
          <t>Chase Ink Preferred</t>
        </is>
      </c>
      <c r="S1" s="10" t="b">
        <v>0</v>
      </c>
      <c r="T1" s="9" t="inlineStr">
        <is>
          <t>Chase Ink Cash</t>
        </is>
      </c>
      <c r="U1" s="10" t="b">
        <v>0</v>
      </c>
      <c r="V1" s="9" t="inlineStr">
        <is>
          <t>Chase Freedom Unlimited</t>
        </is>
      </c>
      <c r="W1" s="10" t="b">
        <v>1</v>
      </c>
      <c r="X1" s="9" t="inlineStr">
        <is>
          <t>Chase Freedom Flex</t>
        </is>
      </c>
      <c r="Y1" s="10" t="b">
        <v>0</v>
      </c>
      <c r="Z1" s="11" t="inlineStr">
        <is>
          <t>Capital One Venture X</t>
        </is>
      </c>
      <c r="AA1" s="12" t="b">
        <v>0</v>
      </c>
      <c r="AB1" s="11" t="inlineStr">
        <is>
          <t>Capital One Savor</t>
        </is>
      </c>
      <c r="AC1" s="12" t="b">
        <v>0</v>
      </c>
      <c r="AD1" s="13" t="inlineStr">
        <is>
          <t>Citi Strata Elite</t>
        </is>
      </c>
      <c r="AE1" s="14" t="b">
        <v>0</v>
      </c>
      <c r="AF1" s="13" t="inlineStr">
        <is>
          <t>Citi Strata Premier</t>
        </is>
      </c>
      <c r="AG1" s="14" t="b">
        <v>0</v>
      </c>
      <c r="AH1" s="13" t="inlineStr">
        <is>
          <t>Citi Strata</t>
        </is>
      </c>
      <c r="AI1" s="14" t="b">
        <v>0</v>
      </c>
      <c r="AJ1" s="13" t="inlineStr">
        <is>
          <t>Citi Custom Cash</t>
        </is>
      </c>
      <c r="AK1" s="14" t="b">
        <v>0</v>
      </c>
      <c r="AL1" s="13" t="inlineStr">
        <is>
          <t>Citi Double Cash</t>
        </is>
      </c>
      <c r="AM1" s="14" t="b">
        <v>0</v>
      </c>
      <c r="AN1" s="15" t="inlineStr">
        <is>
          <t>Bilt Palladium</t>
        </is>
      </c>
      <c r="AO1" s="16" t="b">
        <v>0</v>
      </c>
      <c r="AP1" s="15" t="inlineStr">
        <is>
          <t>Bilt Obsidian</t>
        </is>
      </c>
      <c r="AQ1" s="16" t="b">
        <v>0</v>
      </c>
      <c r="AR1" s="15" t="inlineStr">
        <is>
          <t>Bilt Blue</t>
        </is>
      </c>
      <c r="AS1" s="16" t="b">
        <v>0</v>
      </c>
      <c r="AT1" s="17" t="inlineStr">
        <is>
          <t>Delta SkyMiles Gold</t>
        </is>
      </c>
      <c r="AU1" s="18" t="b">
        <v>1</v>
      </c>
      <c r="AV1" s="17" t="inlineStr">
        <is>
          <t>Delta SkyMiles Gold Business</t>
        </is>
      </c>
      <c r="AW1" s="18" t="b">
        <v>0</v>
      </c>
      <c r="AX1" s="17" t="inlineStr">
        <is>
          <t>Delta SkyMiles Platinum</t>
        </is>
      </c>
      <c r="AY1" s="18" t="b">
        <v>0</v>
      </c>
      <c r="AZ1" s="17" t="inlineStr">
        <is>
          <t>Delta SkyMiles Reserve</t>
        </is>
      </c>
      <c r="BA1" s="18" t="b">
        <v>0</v>
      </c>
      <c r="BB1" s="19" t="inlineStr">
        <is>
          <t>Hilton Honors Surpass</t>
        </is>
      </c>
      <c r="BC1" s="20" t="b">
        <v>0</v>
      </c>
      <c r="BD1" s="19" t="inlineStr">
        <is>
          <t>Hilton Honors Aspire</t>
        </is>
      </c>
      <c r="BE1" s="20" t="b">
        <v>0</v>
      </c>
    </row>
    <row r="2" ht="20.25" customHeight="1" s="58">
      <c r="A2" s="86" t="inlineStr">
        <is>
          <t>Annual Pts</t>
        </is>
      </c>
      <c r="B2" s="86" t="inlineStr">
        <is>
          <t>Total Pts</t>
        </is>
      </c>
      <c r="C2" s="86" t="inlineStr">
        <is>
          <t>Value</t>
        </is>
      </c>
      <c r="D2" s="87" t="inlineStr">
        <is>
          <t>Annual EV</t>
        </is>
      </c>
      <c r="E2" s="87">
        <f>IF($G$1,F2,0)+IF($I$1,H2,0)+IF($K$1,J2,0)+IF($M$1,L2,0)+IF($O$1,N2,0)+IF($Q$1,P2,0)+IF($S$1,R2,0)+IF($W$1,V2,0)+IF($Y$1,X2,0)+IF($AA$1,Z2,0)+IF($AG$1,AF2,0)+IF($AI$1,AH2,0)+IF($AK$1,AJ2,0)+IF($AM$1,AL2,0)+IF($AO$1,AN2,0)+IF($AQ$1,AP2,0)+IF($AS$1,AR2,0)+IF($AU$1,AT2,0)+IF($AY$1,AX2,0)+IF($BA$1,AZ2,0)+IF($BC$1,BB2,0)+IF($BE$1,BD2,0)</f>
        <v/>
      </c>
      <c r="F2" s="88">
        <f>IF(G1, ((F4 + F14) / 100 * F18) * $C$1 + F8 / 100 + F9 * ($C$1 - 1) + F6 - F7, 0) / $C$1</f>
        <v/>
      </c>
      <c r="H2" s="88">
        <f>IF(I1, ((H4 + H14) / 100 * H18) * $C$1 + H8 / 100 + H9 * ($C$1 - 1) + H6 - H7, 0) / $C$1</f>
        <v/>
      </c>
      <c r="J2" s="88">
        <f>IF(K1, ((J4 + J14) / 100 * J18) * $C$1 + J8 / 100 + J9 * ($C$1 - 1) + J6 - J7, 0) / $C$1</f>
        <v/>
      </c>
      <c r="L2" s="88">
        <f>IF(M1, ((L4 + L14) / 100 * L18) * $C$1 + L8 / 100 + L9 * ($C$1 - 1) + L6 - L7, 0) / $C$1</f>
        <v/>
      </c>
      <c r="N2" s="88">
        <f>IF(O1, ((N4 + N14) / 100 * N18) * $C$1 + N8 / 100 + N9 * ($C$1 - 1) + N6 - N7, 0) / $C$1</f>
        <v/>
      </c>
      <c r="P2" s="88">
        <f>IF(Q1, ((P4 + P14) / 100 * P18) * $C$1 + P8 / 100 + P9 * ($C$1 - 1) + P6 - P7, 0) / $C$1</f>
        <v/>
      </c>
      <c r="R2" s="88">
        <f>IF(S1, ((R4 + R14) / 100 * R18) * $C$1 + R8 / 100 + R9 * ($C$1 - 1) + R6 - R7, 0) / $C$1</f>
        <v/>
      </c>
      <c r="T2" s="88">
        <f>IF(U1, ((T4 + T14) / 100 * T18) * $C$1 + T8 / 100 + T9 * ($C$1 - 1) + T6 - T7, 0) / $C$1</f>
        <v/>
      </c>
      <c r="V2" s="88">
        <f>IF(W1, ((V4 + V14) / 100 * IF(OR($O$1, $Q$1, $S$1), V18, 1) + V9 * ($C$1 - 1)) * $C$1 + V8 / 100 + V6 - V7, 0) / $C$1</f>
        <v/>
      </c>
      <c r="X2" s="88">
        <f>IF(Y1, ((X4 + X14) / 100 * IF(OR($O$1, $Q$1, $S$1), X18, 1) + X9 * ($C$1 - 1)) * $C$1 + X8 / 100 + X6 - X7, 0) / $C$1</f>
        <v/>
      </c>
      <c r="Z2" s="88">
        <f>IF(AA1, ((Z4 + Z14) / 100 * Z18 + Z5) * $C$1 + Z8 / 100, 0) / $C$1</f>
        <v/>
      </c>
      <c r="AB2" s="88">
        <f>IF(AC1, ((AB4 + AB14) / 100 * AB18 + AB5) * $C$1 + AB8 / 100, 0) / $C$1</f>
        <v/>
      </c>
      <c r="AD2" s="88">
        <f>IF(AE1, ((AD4 + AD14) / 100 * AD18 + AD5) * $C$1 + AD8 / 100, 0) / $C$1</f>
        <v/>
      </c>
      <c r="AF2" s="88">
        <f>IF(AG1, ((AF4 + AF14) / 100 * AF18 + AF5) * $C$1 + AF8 / 100, 0) / $C$1</f>
        <v/>
      </c>
      <c r="AH2" s="88">
        <f>IF(AI1, ((AH4 + AH14) / 100 * AH18 + AH5) * $C$1 + AH8 / 100, 0) / $C$1</f>
        <v/>
      </c>
      <c r="AJ2" s="88">
        <f>IF(AK1, ((AJ4 + AJ14) / 100 * AJ18 + AJ5) * $C$1 + AJ8 / 100, 0) / $C$1</f>
        <v/>
      </c>
      <c r="AL2" s="88">
        <f>IF(AM1, ((AL4 + AL14) / 100 * AL18 + AL5) * $C$1 + AL8 / 100, 0) / $C$1</f>
        <v/>
      </c>
      <c r="AN2" s="88">
        <f>IF(AO1, ((AN4 + AN14) / 100 * AN18 + AN5) * $C$1 + AN8 / 100, 0) / $C$1</f>
        <v/>
      </c>
      <c r="AP2" s="88">
        <f>IF(AQ1, ((AP4 + AP14) / 100 * AP18 + AP5) * $C$1 + AP8 / 100, 0) / $C$1</f>
        <v/>
      </c>
      <c r="AR2" s="88">
        <f>IF(AS1, ((AR4 + AR14) / 100 * AR18 + AR5) * $C$1 + AR8 / 100, 0) / $C$1</f>
        <v/>
      </c>
      <c r="AT2" s="88">
        <f>IF(AU1, ((AT4 + AT14) / 100 * AT18 + AT5) * $C$1 + AT8 / 100, 0) / $C$1</f>
        <v/>
      </c>
      <c r="AV2" s="88">
        <f>IF(AW1, ((AV4 + AV14) / 100 * AV18 + AV5) * $C$1 + AV8 / 100, 0) / $C$1</f>
        <v/>
      </c>
      <c r="AX2" s="88">
        <f>IF(AY1, ((AX4 + AX14) / 100 * AX18 + AX5) * $C$1 + AX8 / 100, 0) / $C$1</f>
        <v/>
      </c>
      <c r="AZ2" s="88">
        <f>IF(BA1, ((AZ4 + AZ14) / 100 * AZ18 + AZ5) * $C$1 + AZ8 / 100, 0) / $C$1</f>
        <v/>
      </c>
      <c r="BB2" s="88">
        <f>IF(BC1, ((BB4 + BB14) / 100 * BB18 + BB5) * $C$1 + BB8 / 100, 0) / $C$1</f>
        <v/>
      </c>
      <c r="BD2" s="88">
        <f>IF(BE1, ((BD4 + BD14) / 100 * BD18 + BD5) * $C$1 + BD8 / 100, 0) / $C$1</f>
        <v/>
      </c>
    </row>
    <row r="3" ht="20.25" customHeight="1" s="58">
      <c r="A3" s="79" t="inlineStr">
        <is>
          <t>American Express Membership Rewards</t>
        </is>
      </c>
      <c r="D3" s="24" t="inlineStr">
        <is>
          <t>Points Earned</t>
        </is>
      </c>
      <c r="E3" s="24">
        <f>IF($G$1,F3,0)+IF($I$1,H3,0)+IF($K$1,J3,0)+IF($M$1,L3,0)+IF($O$1,N3,0)+IF($Q$1,P3,0)+IF($S$1,R3,0)+IF($W$1,V3,0)+IF($Y$1,X3,0)+IF($AA$1,Z3,0)+IF($AG$1,AF3,0)+IF($AI$1,AH3,0)+IF($AK$1,AJ3,0)+IF($AM$1,AL3,0)+IF($AO$1,AN3,0)+IF($AQ$1,AP3,0)+IF($AS$1,AR3,0)+IF($AU$1,AT3,0)+IF($AY$1,AX3,0)+IF($BA$1,AZ3,0)+IF($BC$1,BB3,0)+IF($BE$1,BD3,0)</f>
        <v/>
      </c>
      <c r="F3" s="76">
        <f>IF(G1, (F4 + F14 + F8 - F15 - F16) + F4 * ($C$1 - 1), 0)</f>
        <v/>
      </c>
      <c r="H3" s="76">
        <f>IF(I1, (H4 + H14 + H8 - H15 - H16) + H4 * ($C$1 - 1), 0)</f>
        <v/>
      </c>
      <c r="J3" s="76">
        <f>IF(K1, (J4 + J14 + J8 - J15 - J16) + J4 * ($C$1 - 1), 0)</f>
        <v/>
      </c>
      <c r="L3" s="76">
        <f>IF(M1, (L4 + L14 + L8 - L15 - L16) + L4 * ($C$1 - 1), 0)</f>
        <v/>
      </c>
      <c r="N3" s="76">
        <f>IF(O1, (N4 + N14 + N8 - N15 - N16) + N4 * ($C$1 - 1), 0)</f>
        <v/>
      </c>
      <c r="P3" s="76">
        <f>IF(Q1, (P4 + P14 + P8 - P15 - P16) + P4 * ($C$1 - 1), 0)</f>
        <v/>
      </c>
      <c r="R3" s="76">
        <f>IF(S1, (R4 + R14 + R8 - R15 - R16) + R4 * ($C$1 - 1), 0)</f>
        <v/>
      </c>
      <c r="T3" s="76">
        <f>IF(U1, (T4 + T14 + T8 - T15 - T16) + T4 * ($C$1 - 1), 0)</f>
        <v/>
      </c>
      <c r="V3" s="76">
        <f>IF(W1, (V4 + V14 + V8 - V15 - V16) + V4 * ($C$1 - 1), 0)</f>
        <v/>
      </c>
      <c r="X3" s="76">
        <f>IF(Y1, (X4 + X14 + X8 - X15 - X16) + X4 * ($C$1 - 1), 0)</f>
        <v/>
      </c>
      <c r="Z3" s="76">
        <f>IF(AA1, (Z4 + Z14 + Z8 - Z15 - Z16) + Z4 * ($C$1 - 1), 0)</f>
        <v/>
      </c>
      <c r="AB3" s="76">
        <f>IF(AC1, (AB4 + AB14 + AB8 - AB15 - AB16) + AB4 * ($C$1 - 1), 0)</f>
        <v/>
      </c>
      <c r="AD3" s="76">
        <f>IF(AE1, (AD4 + AD14 + AD8 - AD15 - AD16) + AD4 * ($C$1 - 1), 0)</f>
        <v/>
      </c>
      <c r="AF3" s="76">
        <f>IF(AG1, (AF4 + AF14 + AF8 - AF15 - AF16) + AF4 * ($C$1 - 1), 0)</f>
        <v/>
      </c>
      <c r="AH3" s="76">
        <f>IF(AI1, (AH4 + AH14 + AH8 - AH15 - AH16) + AH4 * ($C$1 - 1), 0)</f>
        <v/>
      </c>
      <c r="AJ3" s="76">
        <f>IF(AK1, (AJ4 + AJ14 + AJ8 - AJ15 - AJ16) + AJ4 * ($C$1 - 1), 0)</f>
        <v/>
      </c>
      <c r="AL3" s="76">
        <f>IF(AM1, (AL4 + AL14 + AL8 - AL15 - AL16) + AL4 * ($C$1 - 1), 0)</f>
        <v/>
      </c>
      <c r="AN3" s="76">
        <f>IF(AO1, (AN4 + AN14 + AN8 - AN15 - AN16) + AN4 * ($C$1 - 1), 0)</f>
        <v/>
      </c>
      <c r="AP3" s="76">
        <f>IF(AQ1, (AP4 + AP14 + AP8 - AP15 - AP16) + AP4 * ($C$1 - 1), 0)</f>
        <v/>
      </c>
      <c r="AR3" s="76">
        <f>IF(AS1, (AR4 + AR14 + AR8 - AR15 - AR16) + AR4 * ($C$1 - 1), 0)</f>
        <v/>
      </c>
      <c r="AT3" s="76">
        <f>IF(AU1, (AT4 + AT8 - AT15 - AT16) + AT4 * ($C$1 - 1), 0) * (1 / 0.85)</f>
        <v/>
      </c>
      <c r="AV3" s="76">
        <f>IF(AW1, (AV4 + AV14 + AV8 - AV15 - AV16) + AV4 * ($C$1 - 1), 0) * (1 / 0.85)</f>
        <v/>
      </c>
      <c r="AX3" s="76">
        <f>IF(AY1, (AX4 + AX14 + AX8 - AX15 - AX16) + AX4 * ($C$1 - 1), 0) * (1 / 0.85)</f>
        <v/>
      </c>
      <c r="AZ3" s="76">
        <f>IF(BA1, (AZ4 + AZ14 + AZ8 - AZ15 - AZ16) + AZ4 * ($C$1 - 1), 0) * (1 / 0.85)</f>
        <v/>
      </c>
      <c r="BB3" s="76">
        <f>IF(BC1, (BB4 + BB14 + BB8 - BB15 - BB16) + BB4 * ($C$1 - 1), 0) * (1 / 0.85)</f>
        <v/>
      </c>
      <c r="BD3" s="76">
        <f>IF(BE1, (BD4 + BD14 + BD8 - BD15 - BD16) + BD4 * ($C$1 - 1), 0) * (1 / 0.85)</f>
        <v/>
      </c>
    </row>
    <row r="4" ht="20.25" customHeight="1" s="58">
      <c r="A4" s="25">
        <f>SUM(F4:L4)</f>
        <v/>
      </c>
      <c r="B4" s="25">
        <f>SUM(F3:L3)</f>
        <v/>
      </c>
      <c r="C4" s="89">
        <f>SUM(F2:L2)</f>
        <v/>
      </c>
      <c r="D4" s="24" t="inlineStr">
        <is>
          <t>Annual Point Earn</t>
        </is>
      </c>
      <c r="E4" s="24">
        <f>IF($G$1,F4,0)+IF($I$1,H4,0)+IF($K$1,J4,0)+IF($M$1,L4,0)+IF($O$1,N4,0)+IF($Q$1,P4,0)+IF($S$1,R4,0)+IF($W$1,V4,0)+IF($Y$1,X4,0)+IF($AA$1,Z4,0)+IF($AG$1,AF4,0)+IF($AI$1,AH4,0)+IF($AK$1,AJ4,0)+IF($AM$1,AL4,0)+IF($AO$1,AN4,0)+IF($AQ$1,AP4,0)+IF($AS$1,AR4,0)+IF($AU$1,AT4,0)+IF($AY$1,AX4,0)+IF($BA$1,AZ4,0)+IF($BC$1,BB4,0)+IF($BE$1,BD4,0)</f>
        <v/>
      </c>
      <c r="F4" s="59">
        <f>IF(G1, SUM(F9, F19:F35), 0)</f>
        <v/>
      </c>
      <c r="H4" s="59">
        <f>IF(I1, SUM(H9, H19:H35), 0)</f>
        <v/>
      </c>
      <c r="J4" s="59">
        <f>IF(K1, SUM(J9, J19:J35), 0)</f>
        <v/>
      </c>
      <c r="L4" s="59">
        <f>IF(M1, SUM(L9, L19:L35), 0)</f>
        <v/>
      </c>
      <c r="N4" s="59">
        <f>IF(O1, SUM(N9, N19:N35), 0)</f>
        <v/>
      </c>
      <c r="P4" s="59">
        <f>IF(Q1, SUM(P9, P19:P35), 0)</f>
        <v/>
      </c>
      <c r="R4" s="59">
        <f>IF(S1, SUM(R9, R19:R35), 0)</f>
        <v/>
      </c>
      <c r="T4" s="59">
        <f>IF(U1, SUM(T9, T19:T35), 0)</f>
        <v/>
      </c>
      <c r="V4" s="59">
        <f>IF(W1, SUM(V9, V19:V35), 0)</f>
        <v/>
      </c>
      <c r="X4" s="59">
        <f>IF(Y1, SUM(X9, X19:X35), 0)</f>
        <v/>
      </c>
      <c r="Z4" s="59">
        <f>IF(AA1, SUM(Z9, Z19:Z35), 0)</f>
        <v/>
      </c>
      <c r="AB4" s="59">
        <f>IF(AC1, SUM(AB9, AB19:AB35), 0)</f>
        <v/>
      </c>
      <c r="AD4" s="59">
        <f>IF(AE1, SUM(AD9, AD19:AD35), 0)</f>
        <v/>
      </c>
      <c r="AF4" s="59">
        <f>IF(AG1, SUM(AF9, AF19:AF35), 0)</f>
        <v/>
      </c>
      <c r="AH4" s="59">
        <f>IF(AI1, SUM(AH9, AH19:AH35), 0)</f>
        <v/>
      </c>
      <c r="AJ4" s="59">
        <f>IF(AK1, SUM(AJ9, AJ19:AJ35), 0)</f>
        <v/>
      </c>
      <c r="AL4" s="59">
        <f>IF(AM1, SUM(AL9, AL19:AL35), 0)</f>
        <v/>
      </c>
      <c r="AN4" s="59">
        <f>IF(AO1, SUM(AN9, AN19:AN35), 0)</f>
        <v/>
      </c>
      <c r="AP4" s="59">
        <f>IF(AQ1, SUM(AP9, AP19:AP35), 0)</f>
        <v/>
      </c>
      <c r="AR4" s="59">
        <f>IF(AS1, SUM(AR9, AR19:AR35), 0)</f>
        <v/>
      </c>
      <c r="AT4" s="59">
        <f>IF(AU1, SUM(AT9, AT19:AT35), 0)</f>
        <v/>
      </c>
      <c r="AV4" s="59">
        <f>IF(AW1, SUM(AV9, AV19:AV35), 0)</f>
        <v/>
      </c>
      <c r="AX4" s="59">
        <f>IF(AY1, SUM(AX9, AX19:AX35), 0)</f>
        <v/>
      </c>
      <c r="AZ4" s="59">
        <f>IF(BA1, SUM(AZ9, AZ19:AZ35), 0)</f>
        <v/>
      </c>
      <c r="BB4" s="59">
        <f>IF(BC1, SUM(BB9, BB19:BB35), 0)</f>
        <v/>
      </c>
      <c r="BD4" s="59">
        <f>IF(BE1, SUM(BD9, BD19:BD35), 0)</f>
        <v/>
      </c>
    </row>
    <row r="5" ht="20.25" customHeight="1" s="58">
      <c r="A5" s="90" t="inlineStr">
        <is>
          <t>Chase Ultimate Rewards</t>
        </is>
      </c>
      <c r="D5" s="87" t="inlineStr">
        <is>
          <t>2nd Year+ Annual EV</t>
        </is>
      </c>
      <c r="E5" s="87">
        <f>IF($G$1,F5,0)+IF($I$1,H5,0)+IF($K$1,J5,0)+IF($M$1,L5,0)+IF($O$1,N5,0)+IF($Q$1,P5,0)+IF($S$1,R5,0)+IF($W$1,V5,0)+IF($Y$1,X5,0)+IF($AA$1,Z5,0)+IF($AG$1,AF5,0)+IF($AI$1,AH5,0)+IF($AK$1,AJ5,0)+IF($AM$1,AL5,0)+IF($AO$1,AN5,0)+IF($AQ$1,AP5,0)+IF($AS$1,AR5,0)+IF($AU$1,AT5,0)+IF($AY$1,AX5,0)+IF($BA$1,AZ5,0)+IF($BC$1,BB5,0)+IF($BE$1,BD5,0)</f>
        <v/>
      </c>
      <c r="F5" s="91">
        <f>SUM(F9, F19:F35) / 100 * F18 + F6 - F7</f>
        <v/>
      </c>
      <c r="H5" s="91">
        <f>SUM(H9, H19:H35) / 100 * H18 + H6 - H7</f>
        <v/>
      </c>
      <c r="J5" s="91">
        <f>SUM(J9, J19:J35) / 100 * J18 + J6 - J7</f>
        <v/>
      </c>
      <c r="L5" s="91">
        <f>SUM(L9, L19:L35) / 100 * L18 + L6 - L7</f>
        <v/>
      </c>
      <c r="N5" s="91">
        <f>SUM(N9, N19:N35) / 100 * N18 + N6 - N7</f>
        <v/>
      </c>
      <c r="P5" s="91">
        <f>SUM(P9, P19:P35) / 100 * P18 + P6 - P7</f>
        <v/>
      </c>
      <c r="R5" s="91">
        <f>SUM(R9, R19:R35) / 100 * R18 + R6 - R7</f>
        <v/>
      </c>
      <c r="T5" s="91">
        <f>SUM(T9, T19:T35) / 100 * T18 + T6 - T7</f>
        <v/>
      </c>
      <c r="V5" s="91">
        <f>SUM(V9, V19:V35) / 100 * IF(OR($O$1, $Q$1, $S$1), V18, 1) + V6 - V7</f>
        <v/>
      </c>
      <c r="X5" s="91">
        <f>SUM(X9, X19:X35) / 100 * IF(OR($O$1, $Q$1, $S$1), X18, 1) + X6 - X7</f>
        <v/>
      </c>
      <c r="Z5" s="91">
        <f>SUM(Z9, Z19:Z35) / 100 * Z18 + Z6 - Z7</f>
        <v/>
      </c>
      <c r="AB5" s="91">
        <f>SUM(AB9, AB19:AB35) / 100 * AB18 + AB6 - AB7</f>
        <v/>
      </c>
      <c r="AD5" s="91">
        <f>SUM(AD9, AD19:AD35) / 100 * AD18 + AD6 - AD7</f>
        <v/>
      </c>
      <c r="AF5" s="91">
        <f>SUM(AF9, AF19:AF35) / 100 * AF18 + AF6 - AF7</f>
        <v/>
      </c>
      <c r="AH5" s="91">
        <f>SUM(AH9, AH19:AH35) / 100 * AH18 + AH6 - AH7</f>
        <v/>
      </c>
      <c r="AJ5" s="91">
        <f>SUM(AJ9, AJ19:AJ35) / 100 * AJ18 + AJ6 - AJ7</f>
        <v/>
      </c>
      <c r="AL5" s="91">
        <f>SUM(AL9, AL19:AL35) / 100 * AL18 + AL6 - AL7</f>
        <v/>
      </c>
      <c r="AN5" s="91">
        <f>SUM(AN9, AN19:AN35) / 100 * AN18 + AN6 - AN7</f>
        <v/>
      </c>
      <c r="AP5" s="91">
        <f>SUM(AP9, AP19:AP35) / 100 * AP18 + AP6 - AP7</f>
        <v/>
      </c>
      <c r="AR5" s="91">
        <f>SUM(AR9, AR19:AR35) / 100 * AR18 + AR6 - AR7</f>
        <v/>
      </c>
      <c r="AT5" s="91">
        <f>SUM(AT9, AT19:AT35) / 100 * AT18 + AT6 - AT7</f>
        <v/>
      </c>
      <c r="AV5" s="91">
        <f>SUM(AV9, AV19:AV35) / 100 * AV18 + AV6 - AV7</f>
        <v/>
      </c>
      <c r="AX5" s="91">
        <f>SUM(AX9, AX19:AX35) / 100 * AX18 + AX6 - AX7</f>
        <v/>
      </c>
      <c r="AZ5" s="91">
        <f>SUM(AZ9, AZ19:AZ35) / 100 * AZ18 + AZ6 - AZ7</f>
        <v/>
      </c>
      <c r="BB5" s="91">
        <f>SUM(BB9, BB19:BB35) / 100 * BB18 + BB6 - BB7</f>
        <v/>
      </c>
      <c r="BD5" s="91">
        <f>SUM(BD9, BD19:BD35) / 100 * BD18 + BD6 - BD7</f>
        <v/>
      </c>
    </row>
    <row r="6" ht="20.25" customHeight="1" s="58">
      <c r="A6" s="29">
        <f>SUM(N4:X4)</f>
        <v/>
      </c>
      <c r="B6" s="29">
        <f>SUM(N3:X3)</f>
        <v/>
      </c>
      <c r="C6" s="92">
        <f>SUM(N2:X2)</f>
        <v/>
      </c>
      <c r="D6" s="88" t="inlineStr">
        <is>
          <t>Credit Valuation</t>
        </is>
      </c>
      <c r="E6" s="88">
        <f>IF($G$1,F6,0)+IF($I$1,H6,0)+IF($K$1,J6,0)+IF($M$1,L6,0)+IF($O$1,N6,0)+IF($Q$1,P6,0)+IF($S$1,R6,0)+IF($W$1,V6,0)+IF($Y$1,X6,0)+IF($AA$1,Z6,0)+IF($AG$1,AF6,0)+IF($AI$1,AH6,0)+IF($AK$1,AJ6,0)+IF($AM$1,AL6,0)+IF($AO$1,AN6,0)+IF($AQ$1,AP6,0)+IF($AS$1,AR6,0)+IF($AU$1,AT6,0)+IF($AY$1,AX6,0)+IF($BA$1,AZ6,0)+IF($BC$1,BB6,0)+IF($BE$1,BD6,0)</f>
        <v/>
      </c>
      <c r="F6" s="93">
        <f>SUM(G36:G48)</f>
        <v/>
      </c>
      <c r="H6" s="93">
        <f>SUM(I36:I48)</f>
        <v/>
      </c>
      <c r="J6" s="93">
        <f>SUM(K36:K48)</f>
        <v/>
      </c>
      <c r="L6" s="93">
        <f>SUM(M36:M48)</f>
        <v/>
      </c>
      <c r="N6" s="93">
        <f>SUM(O36:O48)</f>
        <v/>
      </c>
      <c r="P6" s="93">
        <f>SUM(Q36:Q48)</f>
        <v/>
      </c>
      <c r="R6" s="93">
        <f>SUM(S36:S48)</f>
        <v/>
      </c>
      <c r="T6" s="93">
        <f>SUM(U36:U48)</f>
        <v/>
      </c>
      <c r="V6" s="93">
        <f>SUM(W36:W48)</f>
        <v/>
      </c>
      <c r="X6" s="93">
        <f>SUM(Y36:Y48)</f>
        <v/>
      </c>
      <c r="Z6" s="93">
        <f>SUM(AA36:AA48)</f>
        <v/>
      </c>
      <c r="AB6" s="93">
        <f>SUM(AC36:AC48)</f>
        <v/>
      </c>
      <c r="AD6" s="93">
        <f>SUM(AE36:AE48)</f>
        <v/>
      </c>
      <c r="AF6" s="93">
        <f>SUM(AG36:AG48)</f>
        <v/>
      </c>
      <c r="AH6" s="93">
        <f>SUM(AI36:AI48)</f>
        <v/>
      </c>
      <c r="AJ6" s="93">
        <f>SUM(AK36:AK48)</f>
        <v/>
      </c>
      <c r="AL6" s="93">
        <f>SUM(AM36:AM48)</f>
        <v/>
      </c>
      <c r="AN6" s="93">
        <f>SUM(AO36:AO48)</f>
        <v/>
      </c>
      <c r="AP6" s="93">
        <f>SUM(AQ36:AQ48)</f>
        <v/>
      </c>
      <c r="AR6" s="93">
        <f>SUM(AS36:AS48)</f>
        <v/>
      </c>
      <c r="AT6" s="93">
        <f>SUM(AU36:AU48)</f>
        <v/>
      </c>
      <c r="AV6" s="93">
        <f>SUM(AW36:AW48)</f>
        <v/>
      </c>
      <c r="AX6" s="93">
        <f>SUM(AY36:AY48)</f>
        <v/>
      </c>
      <c r="AZ6" s="93">
        <f>SUM(BA36:BA48)</f>
        <v/>
      </c>
      <c r="BB6" s="93">
        <f>SUM(BC36:BC48)</f>
        <v/>
      </c>
      <c r="BD6" s="93">
        <f>SUM(BE36:BE48)</f>
        <v/>
      </c>
    </row>
    <row r="7" ht="20.25" customHeight="1" s="58">
      <c r="A7" s="64" t="inlineStr">
        <is>
          <t>Capital One Venture Miles</t>
        </is>
      </c>
      <c r="D7" s="3" t="inlineStr">
        <is>
          <t>Annual Fee</t>
        </is>
      </c>
      <c r="E7" s="91">
        <f>IF($G$1,F7,0)+IF($I$1,H7,0)+IF($K$1,J7,0)+IF($M$1,L7,0)+IF($O$1,N7,0)+IF($Q$1,P7,0)+IF($S$1,R7,0)+IF($W$1,V7,0)+IF($Y$1,X7,0)+IF($AA$1,Z7,0)+IF($AG$1,AF7,0)+IF($AI$1,AH7,0)+IF($AK$1,AJ7,0)+IF($AM$1,AL7,0)+IF($AO$1,AN7,0)+IF($AQ$1,AP7,0)+IF($AS$1,AR7,0)+IF($AU$1,AT7,0)+IF($AY$1,AX7,0)+IF($BA$1,AZ7,0)+IF($BC$1,BB7,0)+IF($BE$1,BD7,0)</f>
        <v/>
      </c>
      <c r="F7" s="94" t="n">
        <v>895</v>
      </c>
      <c r="H7" s="94" t="n">
        <v>325</v>
      </c>
      <c r="J7" s="94" t="n">
        <v>0</v>
      </c>
      <c r="L7" s="94" t="n">
        <v>0</v>
      </c>
      <c r="N7" s="94" t="n">
        <v>795</v>
      </c>
      <c r="P7" s="94" t="n">
        <v>95</v>
      </c>
      <c r="R7" s="94" t="n">
        <v>95</v>
      </c>
      <c r="T7" s="94" t="n">
        <v>0</v>
      </c>
      <c r="V7" s="94" t="n">
        <v>0</v>
      </c>
      <c r="X7" s="94" t="n">
        <v>0</v>
      </c>
      <c r="Z7" s="94" t="n">
        <v>395</v>
      </c>
      <c r="AB7" s="94" t="n">
        <v>0</v>
      </c>
      <c r="AD7" s="94" t="n">
        <v>595</v>
      </c>
      <c r="AF7" s="94" t="n">
        <v>95</v>
      </c>
      <c r="AH7" s="94" t="n">
        <v>0</v>
      </c>
      <c r="AJ7" s="94" t="n">
        <v>0</v>
      </c>
      <c r="AL7" s="94" t="n">
        <v>0</v>
      </c>
      <c r="AN7" s="94" t="n">
        <v>495</v>
      </c>
      <c r="AP7" s="94" t="n">
        <v>95</v>
      </c>
      <c r="AR7" s="94" t="n">
        <v>0</v>
      </c>
      <c r="AT7" s="94" t="n">
        <v>150</v>
      </c>
      <c r="AV7" s="94" t="n">
        <v>150</v>
      </c>
      <c r="AX7" s="94" t="n">
        <v>350</v>
      </c>
      <c r="AZ7" s="94" t="n">
        <v>650</v>
      </c>
      <c r="BB7" s="94" t="n">
        <v>150</v>
      </c>
      <c r="BD7" s="94" t="n">
        <v>550</v>
      </c>
    </row>
    <row r="8" ht="20.25" customHeight="1" s="58">
      <c r="A8" s="31">
        <f>SUM(Z4:AB4)</f>
        <v/>
      </c>
      <c r="B8" s="31">
        <f>SUM(Z3:AB3)</f>
        <v/>
      </c>
      <c r="C8" s="95">
        <f>SUM(Z2:AB2)</f>
        <v/>
      </c>
      <c r="D8" s="1" t="inlineStr">
        <is>
          <t>Sign Up Bonus</t>
        </is>
      </c>
      <c r="E8" s="59">
        <f>IF($G$1,F8,0)+IF($I$1,H8,0)+IF($K$1,J8,0)+IF($M$1,L8,0)+IF($O$1,N8,0)+IF($Q$1,P8,0)+IF($S$1,R8,0)+IF($W$1,V8,0)+IF($Y$1,X8,0)+IF($AA$1,Z8,0)+IF($AG$1,AF8,0)+IF($AI$1,AH8,0)+IF($AK$1,AJ8,0)+IF($AM$1,AL8,0)+IF($AO$1,AN8,0)+IF($AQ$1,AP8,0)+IF($AS$1,AR8,0)+IF($AU$1,AT8,0)+IF($AY$1,AX8,0)+IF($BA$1,AZ8,0)+IF($BC$1,BB8,0)+IF($BE$1,BD8,0)</f>
        <v/>
      </c>
      <c r="F8" s="63" t="n">
        <v>175000</v>
      </c>
      <c r="H8" s="63" t="n">
        <v>100000</v>
      </c>
      <c r="J8" s="63" t="n">
        <v>100000</v>
      </c>
      <c r="L8" s="63" t="n">
        <v>15000</v>
      </c>
      <c r="N8" s="63" t="n">
        <v>125000</v>
      </c>
      <c r="P8" s="63" t="n">
        <v>75000</v>
      </c>
      <c r="R8" s="63" t="n">
        <v>90000</v>
      </c>
      <c r="T8" s="63" t="n">
        <v>75000</v>
      </c>
      <c r="V8" s="63" t="n">
        <v>30000</v>
      </c>
      <c r="X8" s="63" t="n">
        <v>20000</v>
      </c>
      <c r="Z8" s="63" t="n">
        <v>75000</v>
      </c>
      <c r="AB8" s="63" t="n">
        <v>20000</v>
      </c>
      <c r="AD8" s="63" t="n">
        <v>100000</v>
      </c>
      <c r="AF8" s="63" t="n">
        <v>60000</v>
      </c>
      <c r="AH8" s="63" t="n">
        <v>20000</v>
      </c>
      <c r="AJ8" s="63" t="n">
        <v>20000</v>
      </c>
      <c r="AL8" s="63" t="n">
        <v>20000</v>
      </c>
      <c r="AN8" s="63" t="n">
        <v>50000</v>
      </c>
      <c r="AP8" s="63" t="n">
        <v>6667</v>
      </c>
      <c r="AR8" s="63" t="n">
        <v>3333</v>
      </c>
      <c r="AT8" s="63" t="n">
        <v>90000</v>
      </c>
      <c r="AV8" s="63" t="n">
        <v>90000</v>
      </c>
      <c r="AX8" s="63" t="n">
        <v>100000</v>
      </c>
      <c r="AZ8" s="63" t="n">
        <v>125000</v>
      </c>
      <c r="BB8" s="63" t="n">
        <v>130000</v>
      </c>
      <c r="BD8" s="63" t="n">
        <v>150000</v>
      </c>
    </row>
    <row r="9" ht="20.25" customHeight="1" s="58">
      <c r="A9" s="67" t="inlineStr">
        <is>
          <t>Citi ThankYou Points</t>
        </is>
      </c>
      <c r="D9" s="96" t="inlineStr">
        <is>
          <t>Annual Bonus</t>
        </is>
      </c>
      <c r="E9" s="96">
        <f>IF($G$1,F9,0)+IF($I$1,H9,0)+IF($K$1,J9,0)+IF($M$1,L9,0)+IF($O$1,N9,0)+IF($Q$1,P9,0)+IF($S$1,R9,0)+IF($W$1,V9,0)+IF($Y$1,X9,0)+IF($AA$1,Z9,0)+IF($AG$1,AF9,0)+IF($AI$1,AH9,0)+IF($AK$1,AJ9,0)+IF($AM$1,AL9,0)+IF($AO$1,AN9,0)+IF($AQ$1,AP9,0)+IF($AS$1,AR9,0)+IF($AU$1,AT9,0)+IF($AY$1,AX9,0)+IF($BA$1,AZ9,0)+IF($BC$1,BB9,0)+IF($BE$1,BD9,0)</f>
        <v/>
      </c>
      <c r="F9" s="97" t="n">
        <v>0</v>
      </c>
      <c r="H9" s="97" t="n">
        <v>0</v>
      </c>
      <c r="J9" s="97" t="n">
        <v>0</v>
      </c>
      <c r="L9" s="97" t="n">
        <v>0</v>
      </c>
      <c r="N9" s="97" t="n">
        <v>0</v>
      </c>
      <c r="P9" s="97">
        <f>SUMPRODUCT(($Q$19:$Q$35&lt;&gt;0)*($P$19:$P$35)/($Q$19:$Q$35+($Q$19:$Q$35=0)))*0.1</f>
        <v/>
      </c>
      <c r="R9" s="97" t="n">
        <v>0</v>
      </c>
      <c r="T9" s="97" t="n">
        <v>0</v>
      </c>
      <c r="V9" s="97" t="n">
        <v>0</v>
      </c>
      <c r="X9" s="97" t="n">
        <v>0</v>
      </c>
      <c r="Z9" s="97" t="n">
        <v>10000</v>
      </c>
      <c r="AB9" s="66" t="n"/>
      <c r="AD9" s="66" t="n"/>
      <c r="AF9" s="66" t="n"/>
      <c r="AH9" s="66" t="n"/>
      <c r="AJ9" s="97" t="n">
        <v>0</v>
      </c>
      <c r="AL9" s="97" t="n">
        <v>0</v>
      </c>
      <c r="AN9" s="97" t="n">
        <v>6667</v>
      </c>
      <c r="AP9" s="97" t="n">
        <v>0</v>
      </c>
      <c r="AR9" s="97" t="n">
        <v>0</v>
      </c>
      <c r="AT9" s="97" t="n"/>
      <c r="AV9" s="97" t="n"/>
      <c r="AX9" s="97" t="n">
        <v>0</v>
      </c>
      <c r="AZ9" s="97" t="n">
        <v>0</v>
      </c>
      <c r="BB9" s="97" t="n">
        <v>0</v>
      </c>
      <c r="BD9" s="97" t="n">
        <v>0</v>
      </c>
    </row>
    <row r="10" ht="20.25" customHeight="1" s="58">
      <c r="A10" s="36">
        <f>SUM(AD4:AL4)</f>
        <v/>
      </c>
      <c r="B10" s="36">
        <f>SUM(AD3:AL3)</f>
        <v/>
      </c>
      <c r="C10" s="98">
        <f>SUM(AD2:AL2)</f>
        <v/>
      </c>
      <c r="D10" s="1" t="inlineStr">
        <is>
          <t>SUB Minimum Spend</t>
        </is>
      </c>
      <c r="E10" s="1" t="inlineStr">
        <is>
          <t>-----------</t>
        </is>
      </c>
      <c r="F10" s="93" t="n">
        <v>12000</v>
      </c>
      <c r="H10" s="93" t="n">
        <v>6000</v>
      </c>
      <c r="J10" s="93" t="n">
        <v>15000</v>
      </c>
      <c r="L10" s="93" t="n">
        <v>3000</v>
      </c>
      <c r="N10" s="93" t="n">
        <v>6000</v>
      </c>
      <c r="P10" s="93" t="n">
        <v>5000</v>
      </c>
      <c r="R10" s="93" t="n">
        <v>8000</v>
      </c>
      <c r="T10" s="93" t="n">
        <v>6000</v>
      </c>
      <c r="V10" s="93" t="n">
        <v>500</v>
      </c>
      <c r="X10" s="93" t="n">
        <v>500</v>
      </c>
      <c r="Z10" s="93" t="n">
        <v>4000</v>
      </c>
      <c r="AB10" s="93" t="n">
        <v>500</v>
      </c>
      <c r="AD10" s="93" t="n">
        <v>6000</v>
      </c>
      <c r="AF10" s="93" t="n">
        <v>4000</v>
      </c>
      <c r="AH10" s="93" t="n">
        <v>1000</v>
      </c>
      <c r="AJ10" s="93" t="n">
        <v>1500</v>
      </c>
      <c r="AL10" s="93" t="n">
        <v>1500</v>
      </c>
      <c r="AN10" s="93" t="n">
        <v>4000</v>
      </c>
      <c r="AP10" s="93" t="n"/>
      <c r="AR10" s="93" t="n"/>
      <c r="AT10" s="93" t="n">
        <v>5000</v>
      </c>
      <c r="AV10" s="93" t="n">
        <v>6000</v>
      </c>
      <c r="AX10" s="93" t="n">
        <v>6000</v>
      </c>
      <c r="AZ10" s="93" t="n">
        <v>9000</v>
      </c>
      <c r="BB10" s="93" t="n">
        <v>3000</v>
      </c>
      <c r="BD10" s="93" t="n">
        <v>6000</v>
      </c>
    </row>
    <row r="11" ht="20.25" customHeight="1" s="58">
      <c r="A11" s="70" t="inlineStr">
        <is>
          <t>Bilt Rewards</t>
        </is>
      </c>
      <c r="D11" s="3" t="inlineStr">
        <is>
          <t>SUB Months to Spend</t>
        </is>
      </c>
      <c r="E11" s="3" t="inlineStr">
        <is>
          <t>-----------</t>
        </is>
      </c>
      <c r="F11" s="69" t="n">
        <v>6</v>
      </c>
      <c r="H11" s="69" t="n">
        <v>6</v>
      </c>
      <c r="J11" s="69" t="n">
        <v>3</v>
      </c>
      <c r="L11" s="69" t="n">
        <v>3</v>
      </c>
      <c r="N11" s="69" t="n">
        <v>3</v>
      </c>
      <c r="P11" s="69" t="n">
        <v>3</v>
      </c>
      <c r="R11" s="69" t="n">
        <v>3</v>
      </c>
      <c r="T11" s="69" t="n">
        <v>3</v>
      </c>
      <c r="V11" s="69" t="n">
        <v>3</v>
      </c>
      <c r="X11" s="69" t="n">
        <v>3</v>
      </c>
      <c r="Z11" s="69" t="n">
        <v>3</v>
      </c>
      <c r="AB11" s="69" t="n">
        <v>3</v>
      </c>
      <c r="AD11" s="69" t="n">
        <v>3</v>
      </c>
      <c r="AF11" s="69" t="n">
        <v>3</v>
      </c>
      <c r="AH11" s="69" t="n">
        <v>3</v>
      </c>
      <c r="AJ11" s="69" t="n">
        <v>6</v>
      </c>
      <c r="AL11" s="69" t="n">
        <v>6</v>
      </c>
      <c r="AN11" s="69" t="n">
        <v>3</v>
      </c>
      <c r="AP11" s="69" t="n"/>
      <c r="AR11" s="69" t="n"/>
      <c r="AT11" s="69" t="n">
        <v>6</v>
      </c>
      <c r="AV11" s="69" t="n">
        <v>6</v>
      </c>
      <c r="AX11" s="69" t="n">
        <v>6</v>
      </c>
      <c r="AZ11" s="69" t="n">
        <v>6</v>
      </c>
      <c r="BB11" s="69" t="n">
        <v>6</v>
      </c>
      <c r="BD11" s="69" t="n">
        <v>6</v>
      </c>
    </row>
    <row r="12" ht="20.25" customHeight="1" s="58">
      <c r="A12" s="38">
        <f>SUM(AN4:AR4)</f>
        <v/>
      </c>
      <c r="B12" s="38">
        <f>SUM(AN3:AR3)</f>
        <v/>
      </c>
      <c r="C12" s="99">
        <f>SUM(AN2:AR2)</f>
        <v/>
      </c>
      <c r="D12" s="1" t="inlineStr">
        <is>
          <t>SUB Return on Spend</t>
        </is>
      </c>
      <c r="E12" s="1" t="inlineStr">
        <is>
          <t>-----------</t>
        </is>
      </c>
      <c r="F12" s="68">
        <f>IFERROR(F8/F10,0)</f>
        <v/>
      </c>
      <c r="H12" s="68">
        <f>IFERROR(H8/H10,0)</f>
        <v/>
      </c>
      <c r="J12" s="68">
        <f>IFERROR(J8/J10,0)</f>
        <v/>
      </c>
      <c r="L12" s="68">
        <f>IFERROR(L8/L10,0)</f>
        <v/>
      </c>
      <c r="N12" s="68">
        <f>IFERROR(N8/N10,0)</f>
        <v/>
      </c>
      <c r="P12" s="68">
        <f>IFERROR(P8/P10,0)</f>
        <v/>
      </c>
      <c r="R12" s="68">
        <f>IFERROR(R8/R10,0)</f>
        <v/>
      </c>
      <c r="T12" s="68">
        <f>IFERROR(T8/T10,0)</f>
        <v/>
      </c>
      <c r="V12" s="68">
        <f>IFERROR(V8/V10,0)</f>
        <v/>
      </c>
      <c r="X12" s="68">
        <f>IFERROR(X8/X10,0)</f>
        <v/>
      </c>
      <c r="Z12" s="68">
        <f>IFERROR(Z8/Z10,0)</f>
        <v/>
      </c>
      <c r="AB12" s="68">
        <f>IFERROR(AB8/AB10,0)</f>
        <v/>
      </c>
      <c r="AD12" s="68">
        <f>IFERROR(AD8/AD10,0)</f>
        <v/>
      </c>
      <c r="AF12" s="68">
        <f>IFERROR(AF8/AF10,0)</f>
        <v/>
      </c>
      <c r="AH12" s="68">
        <f>IFERROR(AH8/AH10,0)</f>
        <v/>
      </c>
      <c r="AJ12" s="68">
        <f>IFERROR(AJ8/AJ10,0)</f>
        <v/>
      </c>
      <c r="AL12" s="68">
        <f>IFERROR(AL8/AL10,0)</f>
        <v/>
      </c>
      <c r="AN12" s="68">
        <f>IFERROR(AN8/AN10,0)</f>
        <v/>
      </c>
      <c r="AP12" s="68">
        <f>IFERROR(AP8/AP10,0)</f>
        <v/>
      </c>
      <c r="AR12" s="68">
        <f>IFERROR(AR8/AR10,0)</f>
        <v/>
      </c>
      <c r="AT12" s="68">
        <f>IFERROR(AT8/AT10,0)</f>
        <v/>
      </c>
      <c r="AV12" s="68">
        <f>IFERROR(AV8/AV10,0)</f>
        <v/>
      </c>
      <c r="AX12" s="68">
        <f>IFERROR(AX8/AX10,0)</f>
        <v/>
      </c>
      <c r="AZ12" s="68">
        <f>IFERROR(AZ8/AZ10,0)</f>
        <v/>
      </c>
      <c r="BB12" s="68">
        <f>IFERROR(BB8/BB10,0)</f>
        <v/>
      </c>
      <c r="BD12" s="68">
        <f>IFERROR(BD8/BD10,0)</f>
        <v/>
      </c>
    </row>
    <row r="13" ht="20.25" customHeight="1" s="58">
      <c r="A13" s="71" t="inlineStr">
        <is>
          <t>Delta SkyMiles</t>
        </is>
      </c>
      <c r="D13" s="3" t="inlineStr">
        <is>
          <t>SUB Extra Spend</t>
        </is>
      </c>
      <c r="E13" s="3" t="inlineStr">
        <is>
          <t>-----------</t>
        </is>
      </c>
      <c r="F13" s="94">
        <f>IF(G1, LET(
  total_spend, $E19:$E35,
  card_spend, F19:F35,
  threshold, F10,
  total_natural_spend, SUMIF(card_spend, "&gt;0", total_spend),
  IF(total_natural_spend &lt; threshold, threshold - total_natural_spend, 0)
), 0)</f>
        <v/>
      </c>
      <c r="H13" s="94">
        <f>IF(I1, LET(
  total_spend, $E19:$E35,
  card_spend, H19:H35,
  threshold, H10,
  total_natural_spend, SUMIF(card_spend, "&gt;0", total_spend),
  IF(total_natural_spend &lt; threshold, threshold - total_natural_spend, 0)
), 0)</f>
        <v/>
      </c>
      <c r="J13" s="94">
        <f>IF(K1, LET(
  total_spend, $E19:$E35,
  card_spend, J19:J35,
  threshold, J10,
  total_natural_spend, SUMIF(card_spend, "&gt;0", total_spend),
  IF(total_natural_spend &lt; threshold, threshold - total_natural_spend, 0)
), 0)</f>
        <v/>
      </c>
      <c r="L13" s="94">
        <f>IF(M1, LET(
  total_spend, $E19:$E35,
  card_spend, L19:L35,
  threshold, L10,
  total_natural_spend, SUMIF(card_spend, "&gt;0", total_spend),
  IF(total_natural_spend &lt; threshold, threshold - total_natural_spend, 0)
), 0)</f>
        <v/>
      </c>
      <c r="N13" s="94">
        <f>IF(O1, LET(
  total_spend, $E19:$E35,
  card_spend, N19:N35,
  threshold, N10,
  total_natural_spend, SUMIF(card_spend, "&gt;0", total_spend),
  IF(total_natural_spend &lt; threshold, threshold - total_natural_spend, 0)
), 0)</f>
        <v/>
      </c>
      <c r="P13" s="94">
        <f>IF(Q1, LET(
  total_spend, $E19:$E35,
  card_spend, P19:P35,
  threshold, P10,
  total_natural_spend, SUMIF(card_spend, "&gt;0", total_spend),
  IF(total_natural_spend &lt; threshold, threshold - total_natural_spend, 0)
), 0)</f>
        <v/>
      </c>
      <c r="R13" s="94">
        <f>IF(S1, LET(
  total_spend, $E19:$E35,
  card_spend, R19:R35,
  threshold, R10,
  total_natural_spend, SUMIF(card_spend, "&gt;0", total_spend),
  IF(total_natural_spend &lt; threshold, threshold - total_natural_spend, 0)
), 0)</f>
        <v/>
      </c>
      <c r="T13" s="94">
        <f>IF(U1, LET(
  total_spend, $E19:$E35,
  card_spend, T19:T35,
  threshold, T10,
  total_natural_spend, SUMIF(card_spend, "&gt;0", total_spend),
  IF(total_natural_spend &lt; threshold, threshold - total_natural_spend, 0)
), 0)</f>
        <v/>
      </c>
      <c r="V13" s="94">
        <f>IF(W1, LET(
  total_spend, $E19:$E35,
  card_spend, V19:V35,
  threshold, V10,
  total_natural_spend, SUMIF(card_spend, "&gt;0", total_spend),
  IF(total_natural_spend &lt; threshold, threshold - total_natural_spend, 0)
), 0)</f>
        <v/>
      </c>
      <c r="X13" s="94">
        <f>IF(Y1, LET(
  total_spend, $E19:$E35,
  card_spend, X19:X35,
  threshold, X10,
  total_natural_spend, SUMIF(card_spend, "&gt;0", total_spend),
  IF(total_natural_spend &lt; threshold, threshold - total_natural_spend, 0)
), 0)</f>
        <v/>
      </c>
      <c r="Z13" s="94">
        <f>IF(AA1, LET(
  total_spend, $E19:$E35,
  card_spend, Z19:Z35,
  threshold, Z10,
  total_natural_spend, SUMIF(card_spend, "&gt;0", total_spend),
  IF(total_natural_spend &lt; threshold, threshold - total_natural_spend, 0)
), 0)</f>
        <v/>
      </c>
      <c r="AB13" s="94">
        <f>IF(AC1, LET(
  total_spend, $E19:$E35,
  card_spend, AB19:AB35,
  threshold, AB10,
  total_natural_spend, SUMIF(card_spend, "&gt;0", total_spend),
  IF(total_natural_spend &lt; threshold, threshold - total_natural_spend, 0)
), 0)</f>
        <v/>
      </c>
      <c r="AD13" s="94">
        <f>IF(AE1, LET(
  total_spend, $E19:$E35,
  card_spend, AD19:AD35,
  threshold, AD10,
  total_natural_spend, SUMIF(card_spend, "&gt;0", total_spend),
  IF(total_natural_spend &lt; threshold, threshold - total_natural_spend, 0)
), 0)</f>
        <v/>
      </c>
      <c r="AF13" s="94">
        <f>IF(AG1, LET(
  total_spend, $E19:$E35,
  card_spend, AF19:AF35,
  threshold, AF10,
  total_natural_spend, SUMIF(card_spend, "&gt;0", total_spend),
  IF(total_natural_spend &lt; threshold, threshold - total_natural_spend, 0)
), 0)</f>
        <v/>
      </c>
      <c r="AH13" s="94">
        <f>IF(AI1, LET(
  total_spend, $E19:$E35,
  card_spend, AH19:AH35,
  threshold, AH10,
  total_natural_spend, SUMIF(card_spend, "&gt;0", total_spend),
  IF(total_natural_spend &lt; threshold, threshold - total_natural_spend, 0)
), 0)</f>
        <v/>
      </c>
      <c r="AJ13" s="94">
        <f>IF(AK1, LET(
  total_spend, $E19:$E35,
  card_spend, AJ19:AJ35,
  threshold, AJ10,
  total_natural_spend, SUMIF(card_spend, "&gt;0", total_spend),
  IF(total_natural_spend &lt; threshold, threshold - total_natural_spend, 0)
), 0)</f>
        <v/>
      </c>
      <c r="AL13" s="94">
        <f>IF(AM1, LET(
  total_spend, $E19:$E35,
  card_spend, AL19:AL35,
  threshold, AL10,
  total_natural_spend, SUMIF(card_spend, "&gt;0", total_spend),
  IF(total_natural_spend &lt; threshold, threshold - total_natural_spend, 0)
), 0)</f>
        <v/>
      </c>
      <c r="AN13" s="94">
        <f>IF(AO1, LET(
  total_spend, $E19:$E35,
  card_spend, AN19:AN35,
  threshold, AN10,
  total_natural_spend, SUMIF(card_spend, "&gt;0", total_spend),
  IF(total_natural_spend &lt; threshold, threshold - total_natural_spend, 0)
), 0)</f>
        <v/>
      </c>
      <c r="AP13" s="94">
        <f>IF(AQ1, LET(
  total_spend, $E19:$E35,
  card_spend, AP19:AP35,
  threshold, AP10,
  total_natural_spend, SUMIF(card_spend, "&gt;0", total_spend),
  IF(total_natural_spend &lt; threshold, threshold - total_natural_spend, 0)
), 0)</f>
        <v/>
      </c>
      <c r="AR13" s="94">
        <f>IF(AS1, LET(
  total_spend, $E19:$E35,
  card_spend, AR19:AR35,
  threshold, AR10,
  total_natural_spend, SUMIF(card_spend, "&gt;0", total_spend),
  IF(total_natural_spend &lt; threshold, threshold - total_natural_spend, 0)
), 0)</f>
        <v/>
      </c>
      <c r="AT13" s="94">
        <f>IF(AU1, LET(
  total_spend, $E19:$E35,
  card_spend, AT19:AT35,
  threshold, AT10,
  total_natural_spend, SUMIF(card_spend, "&gt;0", total_spend),
  IF(total_natural_spend &lt; threshold, threshold - total_natural_spend, 0)
), 0)</f>
        <v/>
      </c>
      <c r="AV13" s="94">
        <f>IF(AW1, LET(
  total_spend, $E19:$E35,
  card_spend, AV19:AV35,
  threshold, AV10,
  total_natural_spend, SUMIF(card_spend, "&gt;0", total_spend),
  IF(total_natural_spend &lt; threshold, threshold - total_natural_spend, 0)
), 0)</f>
        <v/>
      </c>
      <c r="AX13" s="94">
        <f>IF(AY1, LET(
  total_spend, $E19:$E35,
  card_spend, AX19:AX35,
  threshold, AX10,
  total_natural_spend, SUMIF(card_spend, "&gt;0", total_spend),
  IF(total_natural_spend &lt; threshold, threshold - total_natural_spend, 0)
), 0)</f>
        <v/>
      </c>
      <c r="AZ13" s="94">
        <f>IF(BA1, LET(
  total_spend, $E19:$E35,
  card_spend, AZ19:AZ35,
  threshold, AZ10,
  total_natural_spend, SUMIF(card_spend, "&gt;0", total_spend),
  IF(total_natural_spend &lt; threshold, threshold - total_natural_spend, 0)
), 0)</f>
        <v/>
      </c>
      <c r="BB13" s="94">
        <f>IF(BC1, LET(
  total_spend, $E19:$E35,
  card_spend, BB19:BB35,
  threshold, BB10,
  total_natural_spend, SUMIF(card_spend, "&gt;0", total_spend),
  IF(total_natural_spend &lt; threshold, threshold - total_natural_spend, 0)
), 0)</f>
        <v/>
      </c>
      <c r="BD13" s="94">
        <f>IF(BE1, LET(
  total_spend, $E19:$E35,
  card_spend, BD19:BD35,
  threshold, BD10,
  total_natural_spend, SUMIF(card_spend, "&gt;0", total_spend),
  IF(total_natural_spend &lt; threshold, threshold - total_natural_spend, 0)
), 0)</f>
        <v/>
      </c>
    </row>
    <row r="14" ht="20.25" customHeight="1" s="58">
      <c r="A14" s="41">
        <f>SUM(AT4:AZ4)</f>
        <v/>
      </c>
      <c r="B14" s="41">
        <f>SUM(AT3:AZ3)</f>
        <v/>
      </c>
      <c r="C14" s="100">
        <f>SUM(AT2:AZ2)</f>
        <v/>
      </c>
      <c r="D14" s="1" t="inlineStr">
        <is>
          <t>SUB Spend Points Earn</t>
        </is>
      </c>
      <c r="E14" s="1" t="inlineStr">
        <is>
          <t>-----------</t>
        </is>
      </c>
      <c r="F14" s="63" t="n">
        <v>0</v>
      </c>
      <c r="H14" s="63" t="n">
        <v>24000</v>
      </c>
      <c r="J14" s="63" t="n">
        <v>0</v>
      </c>
      <c r="L14" s="63" t="n">
        <v>0</v>
      </c>
      <c r="N14" s="63" t="n">
        <v>0</v>
      </c>
      <c r="P14" s="63" t="n">
        <v>0</v>
      </c>
      <c r="R14" s="63" t="n">
        <v>0</v>
      </c>
      <c r="T14" s="63" t="n">
        <v>0</v>
      </c>
      <c r="V14" s="63" t="n">
        <v>1500</v>
      </c>
      <c r="X14" s="63" t="n">
        <v>0</v>
      </c>
      <c r="Z14" s="63" t="n">
        <v>0</v>
      </c>
      <c r="AB14" s="63" t="n">
        <v>0</v>
      </c>
      <c r="AD14" s="63" t="n">
        <v>0</v>
      </c>
      <c r="AF14" s="63" t="n">
        <v>0</v>
      </c>
      <c r="AH14" s="63" t="n">
        <v>0</v>
      </c>
      <c r="AJ14" s="63" t="n">
        <v>0</v>
      </c>
      <c r="AL14" s="63" t="n">
        <v>0</v>
      </c>
      <c r="AN14" s="63" t="n">
        <v>0</v>
      </c>
      <c r="AP14" s="63" t="n">
        <v>0</v>
      </c>
      <c r="AR14" s="63" t="n">
        <v>0</v>
      </c>
      <c r="AT14" s="63" t="n">
        <v>10000</v>
      </c>
      <c r="AV14" s="63" t="n">
        <v>0</v>
      </c>
      <c r="AX14" s="63" t="n">
        <v>0</v>
      </c>
      <c r="AZ14" s="63" t="n">
        <v>0</v>
      </c>
      <c r="BB14" s="63" t="n">
        <v>0</v>
      </c>
      <c r="BD14" s="63" t="n">
        <v>0</v>
      </c>
    </row>
    <row r="15" ht="20.25" customHeight="1" s="58">
      <c r="A15" s="73" t="inlineStr">
        <is>
          <t>Hilton Honors Points</t>
        </is>
      </c>
      <c r="D15" s="3" t="inlineStr">
        <is>
          <t>SUB Opportunity Cost</t>
        </is>
      </c>
      <c r="E15" s="3" t="inlineStr">
        <is>
          <t>-----------</t>
        </is>
      </c>
      <c r="F15" s="72">
        <f>IFERROR(__xludf.DUMMYFUNCTION("LET(
  extra_spend, F13,
  current_avg, F17,
  current_flag, G1,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F14,
  net_cost_points, points_if_redirecte"&amp;"d - current_sub_points,
  IF(extra_spend &gt; 0, MAX(0, net_cost_points), 0)
)"),0)</f>
        <v/>
      </c>
      <c r="H15" s="72">
        <f>IFERROR(__xludf.DUMMYFUNCTION("LET(
  extra_spend, H13,
  current_avg, H17,
  current_flag, I1,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H14,
  net_cost_points, points_if_redirecte"&amp;"d - current_sub_points,
  IF(extra_spend &gt; 0, MAX(0, net_cost_points), 0)
)"),0)</f>
        <v/>
      </c>
      <c r="J15" s="72">
        <f>IFERROR(__xludf.DUMMYFUNCTION("LET(
  extra_spend, J13,
  current_avg, J17,
  current_flag, K1,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J14,
  net_cost_points, points_if_redirecte"&amp;"d - current_sub_points,
  IF(extra_spend &gt; 0, MAX(0, net_cost_points), 0)
)"),0)</f>
        <v/>
      </c>
      <c r="L15" s="72">
        <f>IFERROR(__xludf.DUMMYFUNCTION("LET(
  extra_spend, L13,
  current_avg, L17,
  current_flag, M1,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L14,
  net_cost_points, points_if_redirecte"&amp;"d - current_sub_points,
  IF(extra_spend &gt; 0, MAX(0, net_cost_points), 0)
)"),0)</f>
        <v/>
      </c>
      <c r="N15" s="72">
        <f>IFERROR(__xludf.DUMMYFUNCTION("LET(
  extra_spend, N13,
  current_avg, N17,
  current_flag, O1,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N14,
  net_cost_points, points_if_redirecte"&amp;"d - current_sub_points,
  IF(extra_spend &gt; 0, MAX(0, net_cost_points), 0)
)"),0)</f>
        <v/>
      </c>
      <c r="P15" s="72">
        <f>IFERROR(__xludf.DUMMYFUNCTION("LET(
  extra_spend, P13,
  current_avg, P17,
  current_flag, Q1,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P14,
  net_cost_points, points_if_redirecte"&amp;"d - current_sub_points,
  IF(extra_spend &gt; 0, MAX(0, net_cost_points), 0)
)"),0)</f>
        <v/>
      </c>
      <c r="R15" s="72">
        <f>IFERROR(__xludf.DUMMYFUNCTION("LET(
  extra_spend, R13,
  current_avg, R17,
  current_flag, S1,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R14,
  net_cost_points, points_if_redirecte"&amp;"d - current_sub_points,
  IF(extra_spend &gt; 0, MAX(0, net_cost_points), 0)
)"),0)</f>
        <v/>
      </c>
      <c r="T15" s="72">
        <f>IFERROR(__xludf.DUMMYFUNCTION("LET(
  extra_spend, T13,
  current_avg, T17,
  current_flag, U1,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T14,
  net_cost_points, points_if_redirecte"&amp;"d - current_sub_points,
  IF(extra_spend &gt; 0, MAX(0, net_cost_points), 0)
)"),0)</f>
        <v/>
      </c>
      <c r="V15" s="72">
        <f>IFERROR(__xludf.DUMMYFUNCTION("LET(
  extra_spend, V13,
  current_avg, V17,
  current_flag, W1,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V14,
  net_cost_points, points_if_redirecte"&amp;"d - current_sub_points,
  IF(extra_spend &gt; 0, MAX(0, net_cost_points), 0)
)"),0)</f>
        <v/>
      </c>
      <c r="X15" s="72">
        <f>IFERROR(__xludf.DUMMYFUNCTION("LET(
  extra_spend, X13,
  current_avg, X17,
  current_flag, Y1,
  all_avgs_range, FILTER($F$17:$BD$17, MOD(COLUMN($F$17:$BD$17)-COLUMN($F$17),2)=0),
  all_flags_range, FILTER($G$1:$BE$1, MOD(COLUMN($G$1:$BE$1)-COLUMN($G$1),2)=0),
  sum_selected, SUMPRODU"&amp;"CT(IF(all_flags_range=TRUE, IF(all_avgs_range&gt;0, all_avgs_range, 0), 0)),
  count_selected, SUMPRODUCT(IF(all_flags_range=TRUE, IF(all_avgs_range&gt;0, 1, 0), 0)),
  sum_others, sum_selected - IF(AND(current_flag=TRUE, current_avg &gt; 0), current_avg, 0),
  co"&amp;"unt_others, count_selected - IF(AND(current_flag=TRUE, current_avg &gt; 0), 1, 0),
  avg_alt, IF(count_others &gt; 0, sum_others / count_others, 0),
  points_if_redirected, extra_spend * avg_alt,
  current_sub_points, X14,
  net_cost_points, points_if_redirecte"&amp;"d - current_sub_points,
  IF(extra_spend &gt; 0, MAX(0, net_cost_points), 0)
)"),0)</f>
        <v/>
      </c>
      <c r="Z15" s="72">
        <f>IFERROR(__xludf.DUMMYFUNCTION("LET(
  extra_spend, Z13,
  current_avg, Z17,
  current_flag, AA1,
  all_avgs_range, FILTER($F$17:$BD$17, MOD(COLUMN($F$17:$BD$17)-COLUMN($F$17),2)=0),
  all_flags_range, FILTER($G$1:$BE$1, MOD(COLUMN($G$1:$BE$1)-COLUMN($G$1),2)=0),
  sum_selected, SUMPROD"&amp;"UCT(IF(all_flags_range=TRUE, IF(all_avgs_range&gt;0, all_avgs_range, 0), 0)),
  count_selected, SUMPRODUCT(IF(all_flags_range=TRUE, IF(all_avgs_range&gt;0, 1, 0), 0)),
  sum_others, sum_selected - IF(AND(current_flag=TRUE, current_avg &gt; 0), current_avg, 0),
  c"&amp;"ount_others, count_selected - IF(AND(current_flag=TRUE, current_avg &gt; 0), 1, 0),
  avg_alt, IF(count_others &gt; 0, sum_others / count_others, 0),
  points_if_redirected, extra_spend * avg_alt,
  current_sub_points, Z14,
  net_cost_points, points_if_redirect"&amp;"ed - current_sub_points,
  IF(extra_spend &gt; 0, MAX(0, net_cost_points), 0)
)"),0)</f>
        <v/>
      </c>
      <c r="AB15" s="72">
        <f>IFERROR(__xludf.DUMMYFUNCTION("LET(
  extra_spend, AB13,
  current_avg, AB17,
  current_flag, AC1,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AB14,
  net_cost_points, points_if_redir"&amp;"ected - current_sub_points,
  IF(extra_spend &gt; 0, MAX(0, net_cost_points), 0)
)"),0)</f>
        <v/>
      </c>
      <c r="AD15" s="72">
        <f>IFERROR(__xludf.DUMMYFUNCTION("LET(
  extra_spend, AD13,
  current_avg, AD17,
  current_flag, AE1,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AD14,
  net_cost_points, points_if_redir"&amp;"ected - current_sub_points,
  IF(extra_spend &gt; 0, MAX(0, net_cost_points), 0)
)"),0)</f>
        <v/>
      </c>
      <c r="AF15" s="72">
        <f>IFERROR(__xludf.DUMMYFUNCTION("LET(
  extra_spend, AF13,
  current_avg, AF17,
  current_flag, AG1,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AF14,
  net_cost_points, points_if_redir"&amp;"ected - current_sub_points,
  IF(extra_spend &gt; 0, MAX(0, net_cost_points), 0)
)"),0)</f>
        <v/>
      </c>
      <c r="AH15" s="72">
        <f>IFERROR(__xludf.DUMMYFUNCTION("LET(
  extra_spend, AH13,
  current_avg, AH17,
  current_flag, AI1,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AH14,
  net_cost_points, points_if_redir"&amp;"ected - current_sub_points,
  IF(extra_spend &gt; 0, MAX(0, net_cost_points), 0)
)"),0)</f>
        <v/>
      </c>
      <c r="AJ15" s="72">
        <f>IFERROR(__xludf.DUMMYFUNCTION("LET(
  extra_spend, AJ13,
  current_avg, AJ17,
  current_flag, AK1,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AJ14,
  net_cost_points, points_if_redir"&amp;"ected - current_sub_points,
  IF(extra_spend &gt; 0, MAX(0, net_cost_points), 0)
)"),0)</f>
        <v/>
      </c>
      <c r="AL15" s="72">
        <f>IFERROR(__xludf.DUMMYFUNCTION("LET(
  extra_spend, AL13,
  current_avg, AL17,
  current_flag, AM1,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AL14,
  net_cost_points, points_if_redir"&amp;"ected - current_sub_points,
  IF(extra_spend &gt; 0, MAX(0, net_cost_points), 0)
)"),0)</f>
        <v/>
      </c>
      <c r="AN15" s="72">
        <f>IFERROR(__xludf.DUMMYFUNCTION("LET(
  extra_spend, AN13,
  current_avg, AN17,
  current_flag, AO1,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AN14,
  net_cost_points, points_if_redir"&amp;"ected - current_sub_points,
  IF(extra_spend &gt; 0, MAX(0, net_cost_points), 0)
)"),0)</f>
        <v/>
      </c>
      <c r="AP15" s="72">
        <f>IFERROR(__xludf.DUMMYFUNCTION("LET(
  extra_spend, AP13,
  current_avg, AP17,
  current_flag, AQ1,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AP14,
  net_cost_points, points_if_redir"&amp;"ected - current_sub_points,
  IF(extra_spend &gt; 0, MAX(0, net_cost_points), 0)
)"),0)</f>
        <v/>
      </c>
      <c r="AR15" s="72">
        <f>IFERROR(__xludf.DUMMYFUNCTION("LET(
  extra_spend, AR13,
  current_avg, AR17,
  current_flag, AS1,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AR14,
  net_cost_points, points_if_redir"&amp;"ected - current_sub_points,
  IF(extra_spend &gt; 0, MAX(0, net_cost_points), 0)
)"),0)</f>
        <v/>
      </c>
      <c r="AT15" s="72">
        <f>IFERROR(__xludf.DUMMYFUNCTION("LET(
  extra_spend, AT13,
  current_avg, AT17,
  current_flag, AU1,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AT14,
  net_cost_points, points_if_redir"&amp;"ected - current_sub_points,
  IF(extra_spend &gt; 0, MAX(0, net_cost_points), 0)
)"),3205.1282051282)</f>
        <v/>
      </c>
      <c r="AV15" s="72">
        <f>IFERROR(__xludf.DUMMYFUNCTION("LET(
  extra_spend, AV13,
  current_avg, AV17,
  current_flag, AW1,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AV14,
  net_cost_points, points_if_redir"&amp;"ected - current_sub_points,
  IF(extra_spend &gt; 0, MAX(0, net_cost_points), 0)
)"),0)</f>
        <v/>
      </c>
      <c r="AX15" s="72">
        <f>IFERROR(__xludf.DUMMYFUNCTION("LET(
  extra_spend, AX13,
  current_avg, AX17,
  current_flag, AY1,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AX14,
  net_cost_points, points_if_redir"&amp;"ected - current_sub_points,
  IF(extra_spend &gt; 0, MAX(0, net_cost_points), 0)
)"),0)</f>
        <v/>
      </c>
      <c r="AZ15" s="72">
        <f>IFERROR(__xludf.DUMMYFUNCTION("LET(
  extra_spend, AZ13,
  current_avg, AZ17,
  current_flag, BA1,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AZ14,
  net_cost_points, points_if_redir"&amp;"ected - current_sub_points,
  IF(extra_spend &gt; 0, MAX(0, net_cost_points), 0)
)"),0)</f>
        <v/>
      </c>
      <c r="BB15" s="72">
        <f>IFERROR(__xludf.DUMMYFUNCTION("LET(
  extra_spend, BB13,
  current_avg, BB17,
  current_flag, BC1,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BB14,
  net_cost_points, points_if_redir"&amp;"ected - current_sub_points,
  IF(extra_spend &gt; 0, MAX(0, net_cost_points), 0)
)"),0)</f>
        <v/>
      </c>
      <c r="BD15" s="72">
        <f>IFERROR(__xludf.DUMMYFUNCTION("LET(
  extra_spend, BD13,
  current_avg, BD17,
  current_flag, BE1,
  all_avgs_range, FILTER($F$17:$BD$17, MOD(COLUMN($F$17:$BD$17)-COLUMN($F$17),2)=0),
  all_flags_range, FILTER($G$1:$BE$1, MOD(COLUMN($G$1:$BE$1)-COLUMN($G$1),2)=0),
  sum_selected, SUMPR"&amp;"ODUCT(IF(all_flags_range=TRUE, IF(all_avgs_range&gt;0, all_avgs_range, 0), 0)),
  count_selected, SUMPRODUCT(IF(all_flags_range=TRUE, IF(all_avgs_range&gt;0, 1, 0), 0)),
  sum_others, sum_selected - IF(AND(current_flag=TRUE, current_avg &gt; 0), current_avg, 0),
 "&amp;" count_others, count_selected - IF(AND(current_flag=TRUE, current_avg &gt; 0), 1, 0),
  avg_alt, IF(count_others &gt; 0, sum_others / count_others, 0),
  points_if_redirected, extra_spend * avg_alt,
  current_sub_points, BD14,
  net_cost_points, points_if_redir"&amp;"ected - current_sub_points,
  IF(extra_spend &gt; 0, MAX(0, net_cost_points), 0)
)"),0)</f>
        <v/>
      </c>
    </row>
    <row r="16" ht="20.25" customHeight="1" s="58">
      <c r="A16" s="44">
        <f>SUM(BB4:BD4)</f>
        <v/>
      </c>
      <c r="B16" s="44">
        <f>SUM(BB3:BD3)</f>
        <v/>
      </c>
      <c r="C16" s="101">
        <f>SUM(BB2:BD2)</f>
        <v/>
      </c>
      <c r="D16" s="1" t="inlineStr">
        <is>
          <t>Opportunity Cost Abs.</t>
        </is>
      </c>
      <c r="E16" s="1" t="inlineStr">
        <is>
          <t>-----------</t>
        </is>
      </c>
      <c r="F16" s="63">
        <f>IFERROR(__xludf.DUMMYFUNCTION("LET(
  current_flag, G1,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H16" s="63">
        <f>IFERROR(__xludf.DUMMYFUNCTION("LET(
  current_flag, I1,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)"),980.209111277072)</f>
        <v/>
      </c>
      <c r="J16" s="63">
        <f>IFERROR(__xludf.DUMMYFUNCTION("LET(
  current_flag, K1,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L16" s="63">
        <f>IFERROR(__xludf.DUMMYFUNCTION("LET(
  current_flag, M1,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N16" s="63">
        <f>IFERROR(__xludf.DUMMYFUNCTION("LET(
  current_flag, O1,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P16" s="63">
        <f>IFERROR(__xludf.DUMMYFUNCTION("LET(
  current_flag, Q1,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R16" s="63">
        <f>IFERROR(__xludf.DUMMYFUNCTION("LET(
  current_flag, S1,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T16" s="63">
        <f>IFERROR(__xludf.DUMMYFUNCTION("LET(
  current_flag, U1,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V16" s="63">
        <f>IFERROR(__xludf.DUMMYFUNCTION("LET(
  current_flag, W1,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)"),3205.1282051282)</f>
        <v/>
      </c>
      <c r="X16" s="63">
        <f>IFERROR(__xludf.DUMMYFUNCTION("LET(
  current_flag, Y1,
  col_num, COLUMN(),
  data_cols, FILTER(COLUMN($F$1:$BD$1), MOD(COLUMN($F$1:$BD$1)-COLUMN($F$1),2)=0),
  all_opp_costs, FILTER($F$15:$BD$15, MOD(COLUMN($F$15:$BD$15)-COLUMN($F$15),2)=0),
  all_flags, FILTER($G$1:$BE$1, MOD(COLUMN"&amp;"($G$1:$BE$1)-COLUMN($G$1),2)=0),
  all_avgs, FILTER($F$17:$BD$17, MOD(COLUMN($F$17:$BD$17)-COLUMN($F$17),2)=0),
  match_pos, MATCH(col_num, data_cols, 0),
  current_opp, INDEX(all_opp_costs, 1, match_pos),
  total_other_opp, SUMPRODUCT(IF(all_flags=TRUE, "&amp;"all_opp_costs, 0)) - IF(current_flag=TRUE, current_opp, 0),
  all_other_points, INDEX(FILTER($F$19:$BD$19, MOD(COLUMN($F$19:$BD$19)-COLUMN($F$19),2)=0), 1, match_pos),
  remaining_after_all_other, MAX(0, total_other_opp - all_other_points),
  all_other_ab"&amp;"sorption, MIN(all_other_points, total_other_opp),
  current_avg, INDEX(all_avgs, 1, match_pos),
  inverse_mult, IF(current_avg &gt; 0, 1/current_avg, 0),
  sum_all_inverse, SUMPRODUCT(IF(all_avgs &gt; 0, 1/all_avgs, 0)),
  proportional_share, IF(sum_all_inverse"&amp;" &gt; 0, inverse_mult / sum_all_inverse, 0),
  other_categories_total, SUMPRODUCT(OFFSET($F$20, 0, (match_pos-1)*2, 12, 1)),
  other_absorption, MIN(other_categories_total, proportional_share * remaining_after_all_other),
  IF(current_flag=TRUE, all_other_ab"&amp;"sorption + other_absorption, 0)
)"),0)</f>
        <v/>
      </c>
      <c r="Z16" s="63">
        <f>IFERROR(__xludf.DUMMYFUNCTION("LET(
  current_flag, AA1,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B16" s="63">
        <f>IFERROR(__xludf.DUMMYFUNCTION("LET(
  current_flag, AC1,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D16" s="63">
        <f>IFERROR(__xludf.DUMMYFUNCTION("LET(
  current_flag, AE1,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F16" s="63">
        <f>IFERROR(__xludf.DUMMYFUNCTION("LET(
  current_flag, AG1,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H16" s="63">
        <f>IFERROR(__xludf.DUMMYFUNCTION("LET(
  current_flag, AI1,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J16" s="63">
        <f>IFERROR(__xludf.DUMMYFUNCTION("LET(
  current_flag, AK1,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L16" s="63">
        <f>IFERROR(__xludf.DUMMYFUNCTION("LET(
  current_flag, AM1,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N16" s="63">
        <f>IFERROR(__xludf.DUMMYFUNCTION("LET(
  current_flag, AO1,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P16" s="63">
        <f>IFERROR(__xludf.DUMMYFUNCTION("LET(
  current_flag, AQ1,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R16" s="63">
        <f>IFERROR(__xludf.DUMMYFUNCTION("LET(
  current_flag, AS1,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T16" s="63">
        <f>IFERROR(__xludf.DUMMYFUNCTION("LET(
  current_flag, AU1,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V16" s="63">
        <f>IFERROR(__xludf.DUMMYFUNCTION("LET(
  current_flag, AW1,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X16" s="63">
        <f>IFERROR(__xludf.DUMMYFUNCTION("LET(
  current_flag, AY1,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AZ16" s="63">
        <f>IFERROR(__xludf.DUMMYFUNCTION("LET(
  current_flag, BA1,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BB16" s="63">
        <f>IFERROR(__xludf.DUMMYFUNCTION("LET(
  current_flag, BC1,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  <c r="BD16" s="63">
        <f>IFERROR(__xludf.DUMMYFUNCTION("LET(
  current_flag, BE1,
  col_num, COLUMN(),
  data_cols, FILTER(COLUMN($F$1:$BD$1), MOD(COLUMN($F$1:$BD$1)-COLUMN($F$1),2)=0),
  all_opp_costs, FILTER($F$15:$BD$15, MOD(COLUMN($F$15:$BD$15)-COLUMN($F$15),2)=0),
  all_flags, FILTER($G$1:$BE$1, MOD(COLUM"&amp;"N($G$1:$BE$1)-COLUMN($G$1),2)=0),
  all_avgs, FILTER($F$17:$BD$17, MOD(COLUMN($F$17:$BD$17)-COLUMN($F$17),2)=0),
  match_pos, MATCH(col_num, data_cols, 0),
  current_opp, INDEX(all_opp_costs, 1, match_pos),
  total_other_opp, SUMPRODUCT(IF(all_flags=TRUE,"&amp;" all_opp_costs, 0)) - IF(current_flag=TRUE, current_opp, 0),
  all_other_points, INDEX(FILTER($F$19:$BD$19, MOD(COLUMN($F$19:$BD$19)-COLUMN($F$19),2)=0), 1, match_pos),
  remaining_after_all_other, MAX(0, total_other_opp - all_other_points),
  all_other_a"&amp;"bsorption, MIN(all_other_points, total_other_opp),
  current_avg, INDEX(all_avgs, 1, match_pos),
  inverse_mult, IF(current_avg &gt; 0, 1/current_avg, 0),
  sum_all_inverse, SUMPRODUCT(IF(all_avgs &gt; 0, 1/all_avgs, 0)),
  proportional_share, IF(sum_all_invers"&amp;"e &gt; 0, inverse_mult / sum_all_inverse, 0),
  other_categories_total, SUMPRODUCT(OFFSET($F$20, 0, (match_pos-1)*2, 12, 1)),
  other_absorption, MIN(other_categories_total, proportional_share * remaining_after_all_other),
  IF(current_flag=TRUE, all_other_a"&amp;"bsorption + other_absorption, 0)
)"),0)</f>
        <v/>
      </c>
    </row>
    <row r="17" ht="20.25" customHeight="1" s="58">
      <c r="A17" s="74" t="inlineStr">
        <is>
          <t>Selected Wallet</t>
        </is>
      </c>
      <c r="D17" s="3" t="inlineStr">
        <is>
          <t>Avg. Spend Multiplier</t>
        </is>
      </c>
      <c r="E17" s="3" t="inlineStr">
        <is>
          <t>-----------</t>
        </is>
      </c>
      <c r="F17" s="66">
        <f>IFERROR(AVERAGEIF(F19:F35, "&gt;0", G19:G35), 0)</f>
        <v/>
      </c>
      <c r="H17" s="66">
        <f>IFERROR(AVERAGEIF(H19:H35, "&gt;0", I19:I35), 0)</f>
        <v/>
      </c>
      <c r="J17" s="66">
        <f>IFERROR(AVERAGEIF(J19:J35, "&gt;0", K19:K35), 0)</f>
        <v/>
      </c>
      <c r="L17" s="66">
        <f>IFERROR(AVERAGEIF(L19:L35, "&gt;0", M19:M35), 0)</f>
        <v/>
      </c>
      <c r="N17" s="66">
        <f>IFERROR(AVERAGEIF(N19:N35, "&gt;0", O19:O35), 0)</f>
        <v/>
      </c>
      <c r="P17" s="66">
        <f>IFERROR(AVERAGEIF(P19:P35, "&gt;0", Q19:Q35), 0)</f>
        <v/>
      </c>
      <c r="R17" s="66">
        <f>IFERROR(AVERAGEIF(R19:R35, "&gt;0", S19:S35), 0)</f>
        <v/>
      </c>
      <c r="T17" s="66">
        <f>IFERROR(AVERAGEIF(T19:T35, "&gt;0", U19:U35), 0)</f>
        <v/>
      </c>
      <c r="V17" s="66">
        <f>IFERROR(AVERAGEIF(V19:V35, "&gt;0", W19:W35), 0)</f>
        <v/>
      </c>
      <c r="X17" s="66">
        <f>IFERROR(AVERAGEIF(X19:X35, "&gt;0", Y19:Y35), 0)</f>
        <v/>
      </c>
      <c r="Z17" s="66">
        <f>IFERROR(AVERAGEIF(Z19:Z35, "&gt;0", AA19:AA35), 0)</f>
        <v/>
      </c>
      <c r="AB17" s="66">
        <f>IFERROR(AVERAGEIF(AB19:AB35, "&gt;0", AC19:AC35), 0)</f>
        <v/>
      </c>
      <c r="AD17" s="66">
        <f>IFERROR(AVERAGEIF(AD19:AD35, "&gt;0", AE19:AE35), 0)</f>
        <v/>
      </c>
      <c r="AF17" s="66">
        <f>IFERROR(AVERAGEIF(AF19:AF35, "&gt;0", AG19:AG35), 0)</f>
        <v/>
      </c>
      <c r="AH17" s="66">
        <f>IFERROR(AVERAGEIF(AH19:AH35, "&gt;0", AI19:AI35), 0)</f>
        <v/>
      </c>
      <c r="AJ17" s="66">
        <f>IFERROR(AVERAGEIF(AJ19:AJ35, "&gt;0", AK19:AK35), 0)</f>
        <v/>
      </c>
      <c r="AL17" s="66">
        <f>IFERROR(AVERAGEIF(AL19:AL35, "&gt;0", AM19:AM35), 0)</f>
        <v/>
      </c>
      <c r="AN17" s="66">
        <f>IFERROR(AVERAGEIF(AN19:AN35, "&gt;0", AO19:AO35), 0)</f>
        <v/>
      </c>
      <c r="AP17" s="66">
        <f>IFERROR(AVERAGEIF(AP19:AP35, "&gt;0", AQ19:AQ35), 0)</f>
        <v/>
      </c>
      <c r="AR17" s="66">
        <f>IFERROR(AVERAGEIF(AR19:AR35, "&gt;0", AS19:AS35), 0)</f>
        <v/>
      </c>
      <c r="AT17" s="66">
        <f>IFERROR(AVERAGEIF(AT19:AT35, "&gt;0", AU19:AU35), 0)</f>
        <v/>
      </c>
      <c r="AV17" s="66">
        <f>IFERROR(AVERAGEIF(AV19:AV35, "&gt;0", AW19:AW35), 0)</f>
        <v/>
      </c>
      <c r="AX17" s="66">
        <f>IFERROR(AVERAGEIF(AX19:AX35, "&gt;0", AY19:AY35), 0)</f>
        <v/>
      </c>
      <c r="AZ17" s="66">
        <f>IFERROR(AVERAGEIF(AZ19:AZ35, "&gt;0", BA19:BA35), 0)</f>
        <v/>
      </c>
      <c r="BB17" s="66">
        <f>IFERROR(AVERAGEIF(BB19:BB35, "&gt;0", BC19:BC35), 0)</f>
        <v/>
      </c>
      <c r="BD17" s="66">
        <f>IFERROR(AVERAGEIF(BD19:BD35, "&gt;0", BE19:BE35), 0)</f>
        <v/>
      </c>
    </row>
    <row r="18" ht="20.25" customHeight="1" s="58">
      <c r="A18" s="102">
        <f>IFERROR(__xludf.DUMMYFUNCTION("TRANSPOSE(FILTER({F1,H1,J1,L1,N1,P1,R1,T1,V1,X1,Z1,AB1,AD1,AF1,AH1,AJ1,AL1,AN1,AP1,AR1,AT1,AV1,AX1,AZ1,BB1,BD1}, {G1,I1,K1,M1,O1,Q1,S1,U1,W1,Y1,AA1,AC1,AE1,AG1,AI1,AK1,AM1,AO1,AQ1,AS1,AU1,AW1,AY1,BA1,BC1,BE1}=TRUE))"),"American Express Gold")</f>
        <v/>
      </c>
      <c r="D18" s="1" t="inlineStr">
        <is>
          <t>Cents Per Point</t>
        </is>
      </c>
      <c r="E18" s="1" t="inlineStr">
        <is>
          <t>-----------</t>
        </is>
      </c>
      <c r="F18" s="68" t="n">
        <v>2</v>
      </c>
      <c r="H18" s="68" t="n">
        <v>2</v>
      </c>
      <c r="J18" s="68" t="n">
        <v>2</v>
      </c>
      <c r="L18" s="68" t="n">
        <v>2</v>
      </c>
      <c r="N18" s="68" t="n">
        <v>2</v>
      </c>
      <c r="P18" s="68" t="n">
        <v>2</v>
      </c>
      <c r="R18" s="68" t="n">
        <v>2</v>
      </c>
      <c r="T18" s="68" t="n">
        <v>2</v>
      </c>
      <c r="V18" s="68" t="n">
        <v>2</v>
      </c>
      <c r="X18" s="68" t="n">
        <v>2</v>
      </c>
      <c r="Z18" s="68" t="n">
        <v>1.8</v>
      </c>
      <c r="AB18" s="68" t="n">
        <v>1.8</v>
      </c>
      <c r="AD18" s="68" t="n">
        <v>1.8</v>
      </c>
      <c r="AF18" s="68" t="n">
        <v>1.8</v>
      </c>
      <c r="AH18" s="68" t="n">
        <v>1.8</v>
      </c>
      <c r="AJ18" s="68" t="n">
        <v>1.8</v>
      </c>
      <c r="AL18" s="68" t="n">
        <v>1.8</v>
      </c>
      <c r="AN18" s="68" t="n">
        <v>2.2</v>
      </c>
      <c r="AP18" s="68" t="n">
        <v>2.2</v>
      </c>
      <c r="AR18" s="68" t="n">
        <v>2.2</v>
      </c>
      <c r="AT18" s="68" t="n">
        <v>1.5</v>
      </c>
      <c r="AV18" s="68" t="n">
        <v>1.5</v>
      </c>
      <c r="AX18" s="68" t="n">
        <v>1.5</v>
      </c>
      <c r="AZ18" s="68" t="n">
        <v>1.5</v>
      </c>
      <c r="BB18" s="68" t="n">
        <v>0.5</v>
      </c>
      <c r="BD18" s="68" t="n">
        <v>0.5</v>
      </c>
    </row>
    <row r="19" ht="20.25" customHeight="1" s="58">
      <c r="A19" s="80">
        <f>IFERROR(__xludf.DUMMYFUNCTION("""COMPUTED_VALUE"""),"Chase Freedom Unlimited")</f>
        <v/>
      </c>
      <c r="D19" s="3" t="inlineStr">
        <is>
          <t>All Other</t>
        </is>
      </c>
      <c r="E19" s="94" t="n">
        <v>10000</v>
      </c>
      <c r="F19" s="72" t="n">
        <v>0</v>
      </c>
      <c r="G19" s="66" t="n">
        <v>1</v>
      </c>
      <c r="H19" s="72" t="n">
        <v>0</v>
      </c>
      <c r="I19" s="66" t="n">
        <v>1</v>
      </c>
      <c r="J19" s="72" t="n">
        <v>0</v>
      </c>
      <c r="K19" s="66" t="n">
        <v>1</v>
      </c>
      <c r="L19" s="72" t="n">
        <v>0</v>
      </c>
      <c r="M19" s="66" t="n">
        <v>2</v>
      </c>
      <c r="N19" s="72" t="n">
        <v>0</v>
      </c>
      <c r="O19" s="66" t="n">
        <v>1</v>
      </c>
      <c r="P19" s="72" t="n">
        <v>0</v>
      </c>
      <c r="Q19" s="66" t="n">
        <v>1</v>
      </c>
      <c r="R19" s="72" t="n">
        <v>0</v>
      </c>
      <c r="S19" s="66" t="n">
        <v>1</v>
      </c>
      <c r="T19" s="72" t="n">
        <v>0</v>
      </c>
      <c r="U19" s="66" t="n">
        <v>1</v>
      </c>
      <c r="V19" s="72" t="n">
        <v>12961.79433</v>
      </c>
      <c r="W19" s="66" t="n">
        <v>1.5</v>
      </c>
      <c r="X19" s="72" t="n">
        <v>0</v>
      </c>
      <c r="Y19" s="66" t="n">
        <v>1</v>
      </c>
      <c r="Z19" s="72" t="n">
        <v>0</v>
      </c>
      <c r="AA19" s="66" t="n">
        <v>2</v>
      </c>
      <c r="AB19" s="72" t="n">
        <v>0</v>
      </c>
      <c r="AC19" s="66" t="n">
        <v>1</v>
      </c>
      <c r="AD19" s="72" t="n">
        <v>0</v>
      </c>
      <c r="AE19" s="66" t="n">
        <v>1.5</v>
      </c>
      <c r="AF19" s="72" t="n">
        <v>0</v>
      </c>
      <c r="AG19" s="66" t="n">
        <v>1</v>
      </c>
      <c r="AH19" s="72" t="n">
        <v>0</v>
      </c>
      <c r="AI19" s="66" t="n">
        <v>1</v>
      </c>
      <c r="AJ19" s="72" t="n">
        <v>0</v>
      </c>
      <c r="AK19" s="66" t="n">
        <v>1</v>
      </c>
      <c r="AL19" s="72" t="n">
        <v>0</v>
      </c>
      <c r="AM19" s="66" t="n">
        <v>2</v>
      </c>
      <c r="AN19" s="72" t="n">
        <v>0</v>
      </c>
      <c r="AO19" s="66" t="n">
        <v>3.33</v>
      </c>
      <c r="AP19" s="72" t="n">
        <v>0</v>
      </c>
      <c r="AQ19" s="66" t="n">
        <v>2.33</v>
      </c>
      <c r="AR19" s="72" t="n">
        <v>0</v>
      </c>
      <c r="AS19" s="66" t="n">
        <v>2.33</v>
      </c>
      <c r="AT19" s="72" t="n">
        <v>0</v>
      </c>
      <c r="AU19" s="66" t="n">
        <v>1</v>
      </c>
      <c r="AV19" s="72" t="n">
        <v>0</v>
      </c>
      <c r="AW19" s="66" t="n">
        <v>1</v>
      </c>
      <c r="AX19" s="72" t="n">
        <v>0</v>
      </c>
      <c r="AY19" s="66" t="n">
        <v>1</v>
      </c>
      <c r="AZ19" s="72" t="n">
        <v>0</v>
      </c>
      <c r="BA19" s="66" t="n">
        <v>1</v>
      </c>
      <c r="BB19" s="72" t="n">
        <v>0</v>
      </c>
      <c r="BC19" s="66" t="n">
        <v>3</v>
      </c>
      <c r="BD19" s="72" t="n">
        <v>0</v>
      </c>
      <c r="BE19" s="66" t="n">
        <v>3</v>
      </c>
    </row>
    <row r="20" ht="20.25" customHeight="1" s="58">
      <c r="A20" s="102">
        <f>IFERROR(__xludf.DUMMYFUNCTION("""COMPUTED_VALUE"""),"Delta SkyMiles Gold")</f>
        <v/>
      </c>
      <c r="D20" s="1" t="inlineStr">
        <is>
          <t>Dining</t>
        </is>
      </c>
      <c r="E20" s="93" t="n">
        <v>7500</v>
      </c>
      <c r="F20" s="63" t="n">
        <v>0</v>
      </c>
      <c r="G20" s="68" t="n">
        <v>1</v>
      </c>
      <c r="H20" s="63" t="n">
        <v>22333.06391</v>
      </c>
      <c r="I20" s="68" t="n">
        <v>4</v>
      </c>
      <c r="J20" s="63" t="n">
        <v>0</v>
      </c>
      <c r="K20" s="68" t="n">
        <v>1</v>
      </c>
      <c r="L20" s="63" t="n">
        <v>0</v>
      </c>
      <c r="M20" s="68" t="n">
        <v>2</v>
      </c>
      <c r="N20" s="63" t="n">
        <v>0</v>
      </c>
      <c r="O20" s="68" t="n">
        <v>3</v>
      </c>
      <c r="P20" s="63" t="n">
        <v>0</v>
      </c>
      <c r="Q20" s="68" t="n">
        <v>3</v>
      </c>
      <c r="R20" s="63" t="n">
        <v>0</v>
      </c>
      <c r="S20" s="68" t="n">
        <v>3</v>
      </c>
      <c r="T20" s="63" t="n">
        <v>0</v>
      </c>
      <c r="U20" s="68" t="n">
        <v>2</v>
      </c>
      <c r="V20" s="63" t="n">
        <v>0</v>
      </c>
      <c r="W20" s="68" t="n">
        <v>3</v>
      </c>
      <c r="X20" s="63" t="n">
        <v>0</v>
      </c>
      <c r="Y20" s="68" t="n">
        <v>3</v>
      </c>
      <c r="Z20" s="63" t="n">
        <v>0</v>
      </c>
      <c r="AA20" s="68" t="n">
        <v>2</v>
      </c>
      <c r="AB20" s="63" t="n">
        <v>0</v>
      </c>
      <c r="AC20" s="68" t="n">
        <v>3</v>
      </c>
      <c r="AD20" s="63" t="n">
        <v>0</v>
      </c>
      <c r="AE20" s="68" t="n">
        <v>4.5</v>
      </c>
      <c r="AF20" s="63" t="n">
        <v>0</v>
      </c>
      <c r="AG20" s="68" t="n">
        <v>3</v>
      </c>
      <c r="AH20" s="63" t="n">
        <v>0</v>
      </c>
      <c r="AI20" s="68" t="n">
        <v>2</v>
      </c>
      <c r="AJ20" s="63" t="n">
        <v>0</v>
      </c>
      <c r="AK20" s="68" t="n">
        <v>1</v>
      </c>
      <c r="AL20" s="63" t="n">
        <v>0</v>
      </c>
      <c r="AM20" s="68" t="n">
        <v>2</v>
      </c>
      <c r="AN20" s="63" t="n">
        <v>0</v>
      </c>
      <c r="AO20" s="68" t="n">
        <v>3.33</v>
      </c>
      <c r="AP20" s="63" t="n">
        <v>0</v>
      </c>
      <c r="AQ20" s="68" t="n">
        <v>2.33</v>
      </c>
      <c r="AR20" s="63" t="n">
        <v>0</v>
      </c>
      <c r="AS20" s="68" t="n">
        <v>2.33</v>
      </c>
      <c r="AT20" s="63" t="n">
        <v>0</v>
      </c>
      <c r="AU20" s="68" t="n">
        <v>2</v>
      </c>
      <c r="AV20" s="63" t="n">
        <v>0</v>
      </c>
      <c r="AW20" s="68" t="n">
        <v>2</v>
      </c>
      <c r="AX20" s="63" t="n">
        <v>0</v>
      </c>
      <c r="AY20" s="68" t="n">
        <v>2</v>
      </c>
      <c r="AZ20" s="63" t="n">
        <v>0</v>
      </c>
      <c r="BA20" s="68" t="n">
        <v>1</v>
      </c>
      <c r="BB20" s="63" t="n">
        <v>0</v>
      </c>
      <c r="BC20" s="68" t="n">
        <v>6</v>
      </c>
      <c r="BD20" s="63" t="n">
        <v>0</v>
      </c>
      <c r="BE20" s="68" t="n">
        <v>7</v>
      </c>
    </row>
    <row r="21" ht="20.25" customHeight="1" s="58">
      <c r="A21" s="103" t="n"/>
      <c r="D21" s="3" t="inlineStr">
        <is>
          <t>Groceries</t>
        </is>
      </c>
      <c r="E21" s="94" t="n">
        <v>5000</v>
      </c>
      <c r="F21" s="72" t="n">
        <v>0</v>
      </c>
      <c r="G21" s="66" t="n">
        <v>1</v>
      </c>
      <c r="H21" s="72" t="n">
        <v>14888.70928</v>
      </c>
      <c r="I21" s="66" t="n">
        <v>4</v>
      </c>
      <c r="J21" s="72" t="n">
        <v>0</v>
      </c>
      <c r="K21" s="66" t="n">
        <v>1</v>
      </c>
      <c r="L21" s="72" t="n">
        <v>0</v>
      </c>
      <c r="M21" s="66" t="n">
        <v>2</v>
      </c>
      <c r="N21" s="72" t="n">
        <v>0</v>
      </c>
      <c r="O21" s="66" t="n">
        <v>1</v>
      </c>
      <c r="P21" s="72" t="n">
        <v>0</v>
      </c>
      <c r="Q21" s="66" t="n">
        <v>1</v>
      </c>
      <c r="R21" s="72" t="n">
        <v>0</v>
      </c>
      <c r="S21" s="66" t="n">
        <v>1</v>
      </c>
      <c r="T21" s="72" t="n">
        <v>0</v>
      </c>
      <c r="U21" s="66" t="n">
        <v>1</v>
      </c>
      <c r="V21" s="72" t="n">
        <v>0</v>
      </c>
      <c r="W21" s="66" t="n">
        <v>1.5</v>
      </c>
      <c r="X21" s="72" t="n">
        <v>0</v>
      </c>
      <c r="Y21" s="66" t="n">
        <v>1</v>
      </c>
      <c r="Z21" s="72" t="n">
        <v>0</v>
      </c>
      <c r="AA21" s="66" t="n">
        <v>2</v>
      </c>
      <c r="AB21" s="72" t="n">
        <v>0</v>
      </c>
      <c r="AC21" s="66" t="n">
        <v>3</v>
      </c>
      <c r="AD21" s="72" t="n">
        <v>0</v>
      </c>
      <c r="AE21" s="66" t="n">
        <v>1.5</v>
      </c>
      <c r="AF21" s="72" t="n">
        <v>0</v>
      </c>
      <c r="AG21" s="66" t="n">
        <v>3</v>
      </c>
      <c r="AH21" s="72" t="n">
        <v>0</v>
      </c>
      <c r="AI21" s="66" t="n">
        <v>3</v>
      </c>
      <c r="AJ21" s="72" t="n">
        <v>0</v>
      </c>
      <c r="AK21" s="66" t="n">
        <v>1</v>
      </c>
      <c r="AL21" s="72" t="n">
        <v>0</v>
      </c>
      <c r="AM21" s="66" t="n">
        <v>2</v>
      </c>
      <c r="AN21" s="72" t="n">
        <v>0</v>
      </c>
      <c r="AO21" s="66" t="n">
        <v>3.33</v>
      </c>
      <c r="AP21" s="72" t="n">
        <v>0</v>
      </c>
      <c r="AQ21" s="66" t="n">
        <v>4.33</v>
      </c>
      <c r="AR21" s="72" t="n">
        <v>0</v>
      </c>
      <c r="AS21" s="66" t="n">
        <v>2.33</v>
      </c>
      <c r="AT21" s="72" t="n">
        <v>0</v>
      </c>
      <c r="AU21" s="66" t="n">
        <v>2</v>
      </c>
      <c r="AV21" s="72" t="n">
        <v>0</v>
      </c>
      <c r="AW21" s="66" t="n">
        <v>2</v>
      </c>
      <c r="AX21" s="72" t="n">
        <v>0</v>
      </c>
      <c r="AY21" s="66" t="n">
        <v>2</v>
      </c>
      <c r="AZ21" s="72" t="n">
        <v>0</v>
      </c>
      <c r="BA21" s="66" t="n">
        <v>1</v>
      </c>
      <c r="BB21" s="72" t="n">
        <v>0</v>
      </c>
      <c r="BC21" s="66" t="n">
        <v>6</v>
      </c>
      <c r="BD21" s="72" t="n">
        <v>0</v>
      </c>
      <c r="BE21" s="66" t="n">
        <v>3</v>
      </c>
    </row>
    <row r="22" ht="20.25" customHeight="1" s="58">
      <c r="A22" s="102" t="n"/>
      <c r="D22" s="1" t="inlineStr">
        <is>
          <t>Personal Care</t>
        </is>
      </c>
      <c r="E22" s="93" t="n">
        <v>2000</v>
      </c>
      <c r="F22" s="63" t="n">
        <v>0</v>
      </c>
      <c r="G22" s="68" t="n">
        <v>1</v>
      </c>
      <c r="H22" s="63" t="n">
        <v>0</v>
      </c>
      <c r="I22" s="68" t="n">
        <v>1</v>
      </c>
      <c r="J22" s="63" t="n">
        <v>0</v>
      </c>
      <c r="K22" s="68" t="n">
        <v>1</v>
      </c>
      <c r="L22" s="63" t="n">
        <v>0</v>
      </c>
      <c r="M22" s="68" t="n">
        <v>2</v>
      </c>
      <c r="N22" s="63" t="n">
        <v>0</v>
      </c>
      <c r="O22" s="68" t="n">
        <v>1</v>
      </c>
      <c r="P22" s="63" t="n">
        <v>0</v>
      </c>
      <c r="Q22" s="68" t="n">
        <v>1</v>
      </c>
      <c r="R22" s="63" t="n">
        <v>0</v>
      </c>
      <c r="S22" s="68" t="n">
        <v>1</v>
      </c>
      <c r="T22" s="63" t="n">
        <v>0</v>
      </c>
      <c r="U22" s="68" t="n">
        <v>1</v>
      </c>
      <c r="V22" s="63" t="n">
        <v>2592.358866</v>
      </c>
      <c r="W22" s="68" t="n">
        <v>1.5</v>
      </c>
      <c r="X22" s="63" t="n">
        <v>0</v>
      </c>
      <c r="Y22" s="68" t="n">
        <v>1</v>
      </c>
      <c r="Z22" s="63" t="n">
        <v>0</v>
      </c>
      <c r="AA22" s="68" t="n">
        <v>2</v>
      </c>
      <c r="AB22" s="63" t="n">
        <v>0</v>
      </c>
      <c r="AC22" s="68" t="n">
        <v>1</v>
      </c>
      <c r="AD22" s="63" t="n">
        <v>0</v>
      </c>
      <c r="AE22" s="68" t="n">
        <v>1.5</v>
      </c>
      <c r="AF22" s="63" t="n">
        <v>0</v>
      </c>
      <c r="AG22" s="68" t="n">
        <v>1</v>
      </c>
      <c r="AH22" s="63" t="n">
        <v>0</v>
      </c>
      <c r="AI22" s="68" t="n">
        <v>1</v>
      </c>
      <c r="AJ22" s="63" t="n">
        <v>0</v>
      </c>
      <c r="AK22" s="68" t="n">
        <v>1</v>
      </c>
      <c r="AL22" s="63" t="n">
        <v>0</v>
      </c>
      <c r="AM22" s="68" t="n">
        <v>2</v>
      </c>
      <c r="AN22" s="63" t="n">
        <v>0</v>
      </c>
      <c r="AO22" s="68" t="n">
        <v>3.33</v>
      </c>
      <c r="AP22" s="63" t="n">
        <v>0</v>
      </c>
      <c r="AQ22" s="68" t="n">
        <v>2.33</v>
      </c>
      <c r="AR22" s="63" t="n">
        <v>0</v>
      </c>
      <c r="AS22" s="68" t="n">
        <v>2.33</v>
      </c>
      <c r="AT22" s="63" t="n">
        <v>0</v>
      </c>
      <c r="AU22" s="68" t="n">
        <v>1</v>
      </c>
      <c r="AV22" s="63" t="n">
        <v>0</v>
      </c>
      <c r="AW22" s="68" t="n">
        <v>1</v>
      </c>
      <c r="AX22" s="63" t="n">
        <v>0</v>
      </c>
      <c r="AY22" s="68" t="n">
        <v>1</v>
      </c>
      <c r="AZ22" s="63" t="n">
        <v>0</v>
      </c>
      <c r="BA22" s="68" t="n">
        <v>1</v>
      </c>
      <c r="BB22" s="63" t="n">
        <v>0</v>
      </c>
      <c r="BC22" s="68" t="n">
        <v>3</v>
      </c>
      <c r="BD22" s="63" t="n">
        <v>0</v>
      </c>
      <c r="BE22" s="68" t="n">
        <v>3</v>
      </c>
    </row>
    <row r="23" ht="20.25" customHeight="1" s="58">
      <c r="A23" s="103" t="n"/>
      <c r="D23" s="3" t="inlineStr">
        <is>
          <t>Drugstores</t>
        </is>
      </c>
      <c r="E23" s="94" t="n">
        <v>360</v>
      </c>
      <c r="F23" s="72" t="n">
        <v>0</v>
      </c>
      <c r="G23" s="66" t="n">
        <v>1</v>
      </c>
      <c r="H23" s="72" t="n">
        <v>0</v>
      </c>
      <c r="I23" s="66" t="n">
        <v>1</v>
      </c>
      <c r="J23" s="72" t="n">
        <v>0</v>
      </c>
      <c r="K23" s="66" t="n">
        <v>1</v>
      </c>
      <c r="L23" s="72" t="n">
        <v>0</v>
      </c>
      <c r="M23" s="66" t="n">
        <v>2</v>
      </c>
      <c r="N23" s="72" t="n">
        <v>0</v>
      </c>
      <c r="O23" s="66" t="n">
        <v>1</v>
      </c>
      <c r="P23" s="72" t="n">
        <v>0</v>
      </c>
      <c r="Q23" s="66" t="n">
        <v>1</v>
      </c>
      <c r="R23" s="72" t="n">
        <v>0</v>
      </c>
      <c r="S23" s="66" t="n">
        <v>1</v>
      </c>
      <c r="T23" s="72" t="n">
        <v>0</v>
      </c>
      <c r="U23" s="66" t="n">
        <v>1</v>
      </c>
      <c r="V23" s="72" t="n">
        <v>933.2491917</v>
      </c>
      <c r="W23" s="66" t="n">
        <v>3</v>
      </c>
      <c r="X23" s="72" t="n">
        <v>0</v>
      </c>
      <c r="Y23" s="66" t="n">
        <v>3</v>
      </c>
      <c r="Z23" s="72" t="n">
        <v>0</v>
      </c>
      <c r="AA23" s="66" t="n">
        <v>2</v>
      </c>
      <c r="AB23" s="72" t="n">
        <v>0</v>
      </c>
      <c r="AC23" s="66" t="n">
        <v>1</v>
      </c>
      <c r="AD23" s="72" t="n">
        <v>0</v>
      </c>
      <c r="AE23" s="66" t="n">
        <v>1.5</v>
      </c>
      <c r="AF23" s="72" t="n">
        <v>0</v>
      </c>
      <c r="AG23" s="66" t="n">
        <v>1</v>
      </c>
      <c r="AH23" s="72" t="n">
        <v>0</v>
      </c>
      <c r="AI23" s="66" t="n">
        <v>1</v>
      </c>
      <c r="AJ23" s="72" t="n">
        <v>0</v>
      </c>
      <c r="AK23" s="66" t="n">
        <v>1</v>
      </c>
      <c r="AL23" s="72" t="n">
        <v>0</v>
      </c>
      <c r="AM23" s="66" t="n">
        <v>2</v>
      </c>
      <c r="AN23" s="72" t="n">
        <v>0</v>
      </c>
      <c r="AO23" s="66" t="n">
        <v>3.33</v>
      </c>
      <c r="AP23" s="72" t="n">
        <v>0</v>
      </c>
      <c r="AQ23" s="66" t="n">
        <v>2.33</v>
      </c>
      <c r="AR23" s="72" t="n">
        <v>0</v>
      </c>
      <c r="AS23" s="66" t="n">
        <v>2.33</v>
      </c>
      <c r="AT23" s="72" t="n">
        <v>0</v>
      </c>
      <c r="AU23" s="66" t="n">
        <v>1</v>
      </c>
      <c r="AV23" s="72" t="n">
        <v>0</v>
      </c>
      <c r="AW23" s="66" t="n">
        <v>1</v>
      </c>
      <c r="AX23" s="72" t="n">
        <v>0</v>
      </c>
      <c r="AY23" s="66" t="n">
        <v>1</v>
      </c>
      <c r="AZ23" s="72" t="n">
        <v>0</v>
      </c>
      <c r="BA23" s="66" t="n">
        <v>1</v>
      </c>
      <c r="BB23" s="72" t="n">
        <v>0</v>
      </c>
      <c r="BC23" s="66" t="n">
        <v>3</v>
      </c>
      <c r="BD23" s="72" t="n">
        <v>0</v>
      </c>
      <c r="BE23" s="66" t="n">
        <v>3</v>
      </c>
    </row>
    <row r="24" ht="20.25" customHeight="1" s="58">
      <c r="A24" s="82" t="n"/>
      <c r="D24" s="1" t="inlineStr">
        <is>
          <t>Fitness</t>
        </is>
      </c>
      <c r="E24" s="93" t="n">
        <v>1000</v>
      </c>
      <c r="F24" s="63" t="n">
        <v>0</v>
      </c>
      <c r="G24" s="68" t="n">
        <v>1</v>
      </c>
      <c r="H24" s="63" t="n">
        <v>0</v>
      </c>
      <c r="I24" s="68" t="n">
        <v>1</v>
      </c>
      <c r="J24" s="63" t="n">
        <v>0</v>
      </c>
      <c r="K24" s="68" t="n">
        <v>1</v>
      </c>
      <c r="L24" s="63" t="n">
        <v>0</v>
      </c>
      <c r="M24" s="68" t="n">
        <v>2</v>
      </c>
      <c r="N24" s="63" t="n">
        <v>0</v>
      </c>
      <c r="O24" s="68" t="n">
        <v>1</v>
      </c>
      <c r="P24" s="63" t="n">
        <v>0</v>
      </c>
      <c r="Q24" s="68" t="n">
        <v>1</v>
      </c>
      <c r="R24" s="63" t="n">
        <v>0</v>
      </c>
      <c r="S24" s="68" t="n">
        <v>1</v>
      </c>
      <c r="T24" s="63" t="n">
        <v>0</v>
      </c>
      <c r="U24" s="68" t="n">
        <v>1</v>
      </c>
      <c r="V24" s="63" t="n">
        <v>1296.179433</v>
      </c>
      <c r="W24" s="68" t="n">
        <v>1.5</v>
      </c>
      <c r="X24" s="63" t="n">
        <v>0</v>
      </c>
      <c r="Y24" s="68" t="n">
        <v>1</v>
      </c>
      <c r="Z24" s="63" t="n">
        <v>0</v>
      </c>
      <c r="AA24" s="68" t="n">
        <v>2</v>
      </c>
      <c r="AB24" s="63" t="n">
        <v>0</v>
      </c>
      <c r="AC24" s="68" t="n">
        <v>1</v>
      </c>
      <c r="AD24" s="63" t="n">
        <v>0</v>
      </c>
      <c r="AE24" s="68" t="n">
        <v>1.5</v>
      </c>
      <c r="AF24" s="63" t="n">
        <v>0</v>
      </c>
      <c r="AG24" s="68" t="n">
        <v>1</v>
      </c>
      <c r="AH24" s="63" t="n">
        <v>0</v>
      </c>
      <c r="AI24" s="68" t="n">
        <v>1</v>
      </c>
      <c r="AJ24" s="63" t="n">
        <v>0</v>
      </c>
      <c r="AK24" s="68" t="n">
        <v>1</v>
      </c>
      <c r="AL24" s="63" t="n">
        <v>0</v>
      </c>
      <c r="AM24" s="68" t="n">
        <v>2</v>
      </c>
      <c r="AN24" s="63" t="n">
        <v>0</v>
      </c>
      <c r="AO24" s="68" t="n">
        <v>3.33</v>
      </c>
      <c r="AP24" s="63" t="n">
        <v>0</v>
      </c>
      <c r="AQ24" s="68" t="n">
        <v>2.33</v>
      </c>
      <c r="AR24" s="63" t="n">
        <v>0</v>
      </c>
      <c r="AS24" s="68" t="n">
        <v>2.33</v>
      </c>
      <c r="AT24" s="63" t="n">
        <v>0</v>
      </c>
      <c r="AU24" s="68" t="n">
        <v>1</v>
      </c>
      <c r="AV24" s="63" t="n">
        <v>0</v>
      </c>
      <c r="AW24" s="68" t="n">
        <v>1</v>
      </c>
      <c r="AX24" s="63" t="n">
        <v>0</v>
      </c>
      <c r="AY24" s="68" t="n">
        <v>1</v>
      </c>
      <c r="AZ24" s="63" t="n">
        <v>0</v>
      </c>
      <c r="BA24" s="68" t="n">
        <v>1</v>
      </c>
      <c r="BB24" s="63" t="n">
        <v>0</v>
      </c>
      <c r="BC24" s="68" t="n">
        <v>3</v>
      </c>
      <c r="BD24" s="63" t="n">
        <v>0</v>
      </c>
      <c r="BE24" s="68" t="n">
        <v>3</v>
      </c>
    </row>
    <row r="25" ht="20.25" customHeight="1" s="58">
      <c r="A25" s="80" t="n"/>
      <c r="D25" s="3" t="inlineStr">
        <is>
          <t>Gas</t>
        </is>
      </c>
      <c r="E25" s="94" t="n">
        <v>400</v>
      </c>
      <c r="F25" s="72" t="n">
        <v>0</v>
      </c>
      <c r="G25" s="66" t="n">
        <v>1</v>
      </c>
      <c r="H25" s="72" t="n">
        <v>0</v>
      </c>
      <c r="I25" s="66" t="n">
        <v>1</v>
      </c>
      <c r="J25" s="72" t="n">
        <v>0</v>
      </c>
      <c r="K25" s="66" t="n">
        <v>1</v>
      </c>
      <c r="L25" s="72" t="n">
        <v>0</v>
      </c>
      <c r="M25" s="66" t="n">
        <v>2</v>
      </c>
      <c r="N25" s="72" t="n">
        <v>0</v>
      </c>
      <c r="O25" s="66" t="n">
        <v>1</v>
      </c>
      <c r="P25" s="72" t="n">
        <v>0</v>
      </c>
      <c r="Q25" s="66" t="n">
        <v>1</v>
      </c>
      <c r="R25" s="72" t="n">
        <v>0</v>
      </c>
      <c r="S25" s="66" t="n">
        <v>1</v>
      </c>
      <c r="T25" s="72" t="n">
        <v>0</v>
      </c>
      <c r="U25" s="66" t="n">
        <v>2</v>
      </c>
      <c r="V25" s="72" t="n">
        <v>518.4717732</v>
      </c>
      <c r="W25" s="66" t="n">
        <v>1.5</v>
      </c>
      <c r="X25" s="72" t="n">
        <v>0</v>
      </c>
      <c r="Y25" s="66" t="n">
        <v>1</v>
      </c>
      <c r="Z25" s="72" t="n">
        <v>0</v>
      </c>
      <c r="AA25" s="66" t="n">
        <v>2</v>
      </c>
      <c r="AB25" s="72" t="n">
        <v>0</v>
      </c>
      <c r="AC25" s="66" t="n">
        <v>1</v>
      </c>
      <c r="AD25" s="72" t="n">
        <v>0</v>
      </c>
      <c r="AE25" s="66" t="n">
        <v>3</v>
      </c>
      <c r="AF25" s="72" t="n">
        <v>0</v>
      </c>
      <c r="AG25" s="66" t="n">
        <v>3</v>
      </c>
      <c r="AH25" s="72" t="n">
        <v>0</v>
      </c>
      <c r="AI25" s="66" t="n">
        <v>3</v>
      </c>
      <c r="AJ25" s="72" t="n">
        <v>0</v>
      </c>
      <c r="AK25" s="66" t="n">
        <v>1</v>
      </c>
      <c r="AL25" s="72" t="n">
        <v>0</v>
      </c>
      <c r="AM25" s="66" t="n">
        <v>2</v>
      </c>
      <c r="AN25" s="72" t="n">
        <v>0</v>
      </c>
      <c r="AO25" s="66" t="n">
        <v>3.33</v>
      </c>
      <c r="AP25" s="72" t="n">
        <v>0</v>
      </c>
      <c r="AQ25" s="66" t="n">
        <v>2.33</v>
      </c>
      <c r="AR25" s="72" t="n">
        <v>0</v>
      </c>
      <c r="AS25" s="66" t="n">
        <v>2.33</v>
      </c>
      <c r="AT25" s="72" t="n">
        <v>0</v>
      </c>
      <c r="AU25" s="66" t="n">
        <v>1</v>
      </c>
      <c r="AV25" s="72" t="n">
        <v>0</v>
      </c>
      <c r="AW25" s="66" t="n">
        <v>1</v>
      </c>
      <c r="AX25" s="72" t="n">
        <v>0</v>
      </c>
      <c r="AY25" s="66" t="n">
        <v>1</v>
      </c>
      <c r="AZ25" s="72" t="n">
        <v>0</v>
      </c>
      <c r="BA25" s="66" t="n">
        <v>1</v>
      </c>
      <c r="BB25" s="72" t="n">
        <v>0</v>
      </c>
      <c r="BC25" s="66" t="n">
        <v>6</v>
      </c>
      <c r="BD25" s="72" t="n">
        <v>0</v>
      </c>
      <c r="BE25" s="66" t="n">
        <v>3</v>
      </c>
    </row>
    <row r="26" ht="20.25" customHeight="1" s="58">
      <c r="A26" s="83" t="n"/>
      <c r="C26" s="47" t="n"/>
      <c r="D26" s="1" t="inlineStr">
        <is>
          <t>Rideshare</t>
        </is>
      </c>
      <c r="E26" s="93" t="n">
        <v>500</v>
      </c>
      <c r="F26" s="63" t="n">
        <v>0</v>
      </c>
      <c r="G26" s="68" t="n">
        <v>1</v>
      </c>
      <c r="H26" s="63" t="n">
        <v>0</v>
      </c>
      <c r="I26" s="68" t="n">
        <v>1</v>
      </c>
      <c r="J26" s="63" t="n">
        <v>0</v>
      </c>
      <c r="K26" s="68" t="n">
        <v>4</v>
      </c>
      <c r="L26" s="63" t="n">
        <v>0</v>
      </c>
      <c r="M26" s="68" t="n">
        <v>2</v>
      </c>
      <c r="N26" s="63" t="n">
        <v>0</v>
      </c>
      <c r="O26" s="68" t="n">
        <v>5</v>
      </c>
      <c r="P26" s="63" t="n">
        <v>0</v>
      </c>
      <c r="Q26" s="68" t="n">
        <v>5</v>
      </c>
      <c r="R26" s="63" t="n">
        <v>0</v>
      </c>
      <c r="S26" s="68" t="n">
        <v>5</v>
      </c>
      <c r="T26" s="63" t="n">
        <v>0</v>
      </c>
      <c r="U26" s="68" t="n">
        <v>5</v>
      </c>
      <c r="V26" s="63" t="n">
        <v>648.0897165</v>
      </c>
      <c r="W26" s="68" t="n">
        <v>1.5</v>
      </c>
      <c r="X26" s="63" t="n">
        <v>0</v>
      </c>
      <c r="Y26" s="68" t="n">
        <v>1</v>
      </c>
      <c r="Z26" s="63" t="n">
        <v>0</v>
      </c>
      <c r="AA26" s="68" t="n">
        <v>2</v>
      </c>
      <c r="AB26" s="63" t="n">
        <v>0</v>
      </c>
      <c r="AC26" s="68" t="n">
        <v>1</v>
      </c>
      <c r="AD26" s="63" t="n">
        <v>0</v>
      </c>
      <c r="AE26" s="68" t="n">
        <v>3</v>
      </c>
      <c r="AF26" s="63" t="n">
        <v>0</v>
      </c>
      <c r="AG26" s="68" t="n">
        <v>3</v>
      </c>
      <c r="AH26" s="63" t="n">
        <v>0</v>
      </c>
      <c r="AI26" s="68" t="n">
        <v>3</v>
      </c>
      <c r="AJ26" s="63" t="n">
        <v>0</v>
      </c>
      <c r="AK26" s="68" t="n">
        <v>1</v>
      </c>
      <c r="AL26" s="63" t="n">
        <v>0</v>
      </c>
      <c r="AM26" s="68" t="n">
        <v>2</v>
      </c>
      <c r="AN26" s="63" t="n">
        <v>0</v>
      </c>
      <c r="AO26" s="68" t="n">
        <v>3.33</v>
      </c>
      <c r="AP26" s="63" t="n">
        <v>0</v>
      </c>
      <c r="AQ26" s="68" t="n">
        <v>2.33</v>
      </c>
      <c r="AR26" s="63" t="n">
        <v>0</v>
      </c>
      <c r="AS26" s="68" t="n">
        <v>2.33</v>
      </c>
      <c r="AT26" s="63" t="n">
        <v>0</v>
      </c>
      <c r="AU26" s="68" t="n">
        <v>1</v>
      </c>
      <c r="AV26" s="63" t="n">
        <v>0</v>
      </c>
      <c r="AW26" s="68" t="n">
        <v>1</v>
      </c>
      <c r="AX26" s="63" t="n">
        <v>0</v>
      </c>
      <c r="AY26" s="68" t="n">
        <v>1</v>
      </c>
      <c r="AZ26" s="63" t="n">
        <v>0</v>
      </c>
      <c r="BA26" s="68" t="n">
        <v>1</v>
      </c>
      <c r="BB26" s="63" t="n">
        <v>0</v>
      </c>
      <c r="BC26" s="68" t="n">
        <v>3</v>
      </c>
      <c r="BD26" s="63" t="n">
        <v>0</v>
      </c>
      <c r="BE26" s="68" t="n">
        <v>3</v>
      </c>
    </row>
    <row r="27" ht="20.25" customHeight="1" s="58">
      <c r="A27" s="80" t="n"/>
      <c r="D27" s="3" t="inlineStr">
        <is>
          <t>Transit</t>
        </is>
      </c>
      <c r="E27" s="94" t="n">
        <v>1500</v>
      </c>
      <c r="F27" s="72" t="n">
        <v>0</v>
      </c>
      <c r="G27" s="66" t="n">
        <v>1</v>
      </c>
      <c r="H27" s="72" t="n">
        <v>0</v>
      </c>
      <c r="I27" s="66" t="n">
        <v>1</v>
      </c>
      <c r="J27" s="72" t="n">
        <v>0</v>
      </c>
      <c r="K27" s="66" t="n">
        <v>4</v>
      </c>
      <c r="L27" s="72" t="n">
        <v>0</v>
      </c>
      <c r="M27" s="66" t="n">
        <v>2</v>
      </c>
      <c r="N27" s="72" t="n">
        <v>0</v>
      </c>
      <c r="O27" s="66" t="n">
        <v>1</v>
      </c>
      <c r="P27" s="72" t="n">
        <v>0</v>
      </c>
      <c r="Q27" s="66" t="n">
        <v>2</v>
      </c>
      <c r="R27" s="72" t="n">
        <v>0</v>
      </c>
      <c r="S27" s="66" t="n">
        <v>3</v>
      </c>
      <c r="T27" s="72" t="n">
        <v>0</v>
      </c>
      <c r="U27" s="66" t="n">
        <v>1</v>
      </c>
      <c r="V27" s="72" t="n">
        <v>1944.269149</v>
      </c>
      <c r="W27" s="66" t="n">
        <v>1.5</v>
      </c>
      <c r="X27" s="72" t="n">
        <v>0</v>
      </c>
      <c r="Y27" s="66" t="n">
        <v>1</v>
      </c>
      <c r="Z27" s="72" t="n">
        <v>0</v>
      </c>
      <c r="AA27" s="66" t="n">
        <v>2</v>
      </c>
      <c r="AB27" s="72" t="n">
        <v>0</v>
      </c>
      <c r="AC27" s="66" t="n">
        <v>1</v>
      </c>
      <c r="AD27" s="72" t="n">
        <v>0</v>
      </c>
      <c r="AE27" s="66" t="n">
        <v>1.5</v>
      </c>
      <c r="AF27" s="72" t="n">
        <v>0</v>
      </c>
      <c r="AG27" s="66" t="n">
        <v>1</v>
      </c>
      <c r="AH27" s="72" t="n">
        <v>0</v>
      </c>
      <c r="AI27" s="66" t="n">
        <v>3</v>
      </c>
      <c r="AJ27" s="72" t="n">
        <v>0</v>
      </c>
      <c r="AK27" s="66" t="n">
        <v>1</v>
      </c>
      <c r="AL27" s="72" t="n">
        <v>0</v>
      </c>
      <c r="AM27" s="66" t="n">
        <v>2</v>
      </c>
      <c r="AN27" s="72" t="n">
        <v>0</v>
      </c>
      <c r="AO27" s="66" t="n">
        <v>3.33</v>
      </c>
      <c r="AP27" s="72" t="n">
        <v>0</v>
      </c>
      <c r="AQ27" s="66" t="n">
        <v>3.33</v>
      </c>
      <c r="AR27" s="72" t="n">
        <v>0</v>
      </c>
      <c r="AS27" s="66" t="n">
        <v>2.33</v>
      </c>
      <c r="AT27" s="72" t="n">
        <v>0</v>
      </c>
      <c r="AU27" s="66" t="n">
        <v>1</v>
      </c>
      <c r="AV27" s="72" t="n">
        <v>0</v>
      </c>
      <c r="AW27" s="66" t="n">
        <v>1</v>
      </c>
      <c r="AX27" s="72" t="n">
        <v>0</v>
      </c>
      <c r="AY27" s="66" t="n">
        <v>1</v>
      </c>
      <c r="AZ27" s="72" t="n">
        <v>0</v>
      </c>
      <c r="BA27" s="66" t="n">
        <v>1</v>
      </c>
      <c r="BB27" s="72" t="n">
        <v>0</v>
      </c>
      <c r="BC27" s="66" t="n">
        <v>3</v>
      </c>
      <c r="BD27" s="72" t="n">
        <v>0</v>
      </c>
      <c r="BE27" s="66" t="n">
        <v>3</v>
      </c>
    </row>
    <row r="28" ht="20.25" customHeight="1" s="58">
      <c r="A28" s="83" t="n"/>
      <c r="C28" s="47" t="n"/>
      <c r="D28" s="1" t="inlineStr">
        <is>
          <t>Entertainment</t>
        </is>
      </c>
      <c r="E28" s="93" t="n">
        <v>1200</v>
      </c>
      <c r="F28" s="63" t="n">
        <v>0</v>
      </c>
      <c r="G28" s="68" t="n">
        <v>1</v>
      </c>
      <c r="H28" s="63" t="n">
        <v>0</v>
      </c>
      <c r="I28" s="68" t="n">
        <v>1</v>
      </c>
      <c r="J28" s="63" t="n">
        <v>0</v>
      </c>
      <c r="K28" s="68" t="n">
        <v>1</v>
      </c>
      <c r="L28" s="63" t="n">
        <v>0</v>
      </c>
      <c r="M28" s="68" t="n">
        <v>2</v>
      </c>
      <c r="N28" s="63" t="n">
        <v>0</v>
      </c>
      <c r="O28" s="68" t="n">
        <v>1</v>
      </c>
      <c r="P28" s="63" t="n">
        <v>0</v>
      </c>
      <c r="Q28" s="68" t="n">
        <v>1</v>
      </c>
      <c r="R28" s="63" t="n">
        <v>0</v>
      </c>
      <c r="S28" s="68" t="n">
        <v>1</v>
      </c>
      <c r="T28" s="63" t="n">
        <v>0</v>
      </c>
      <c r="U28" s="68" t="n">
        <v>1</v>
      </c>
      <c r="V28" s="63" t="n">
        <v>1555.41532</v>
      </c>
      <c r="W28" s="68" t="n">
        <v>1.5</v>
      </c>
      <c r="X28" s="63" t="n">
        <v>0</v>
      </c>
      <c r="Y28" s="68" t="n">
        <v>1</v>
      </c>
      <c r="Z28" s="63" t="n">
        <v>0</v>
      </c>
      <c r="AA28" s="68" t="n">
        <v>2</v>
      </c>
      <c r="AB28" s="63" t="n">
        <v>0</v>
      </c>
      <c r="AC28" s="68" t="n">
        <v>3</v>
      </c>
      <c r="AD28" s="63" t="n">
        <v>0</v>
      </c>
      <c r="AE28" s="68" t="n">
        <v>1.5</v>
      </c>
      <c r="AF28" s="63" t="n">
        <v>0</v>
      </c>
      <c r="AG28" s="68" t="n">
        <v>1</v>
      </c>
      <c r="AH28" s="63" t="n">
        <v>0</v>
      </c>
      <c r="AI28" s="68" t="n">
        <v>1</v>
      </c>
      <c r="AJ28" s="63" t="n">
        <v>0</v>
      </c>
      <c r="AK28" s="68" t="n">
        <v>5</v>
      </c>
      <c r="AL28" s="63" t="n">
        <v>0</v>
      </c>
      <c r="AM28" s="68" t="n">
        <v>2</v>
      </c>
      <c r="AN28" s="63" t="n">
        <v>0</v>
      </c>
      <c r="AO28" s="68" t="n">
        <v>3.33</v>
      </c>
      <c r="AP28" s="63" t="n">
        <v>0</v>
      </c>
      <c r="AQ28" s="68" t="n">
        <v>2.33</v>
      </c>
      <c r="AR28" s="63" t="n">
        <v>0</v>
      </c>
      <c r="AS28" s="68" t="n">
        <v>2.33</v>
      </c>
      <c r="AT28" s="63" t="n">
        <v>0</v>
      </c>
      <c r="AU28" s="68" t="n">
        <v>1</v>
      </c>
      <c r="AV28" s="63" t="n">
        <v>0</v>
      </c>
      <c r="AW28" s="68" t="n">
        <v>1</v>
      </c>
      <c r="AX28" s="63" t="n">
        <v>0</v>
      </c>
      <c r="AY28" s="68" t="n">
        <v>1</v>
      </c>
      <c r="AZ28" s="63" t="n">
        <v>0</v>
      </c>
      <c r="BA28" s="68" t="n">
        <v>1</v>
      </c>
      <c r="BB28" s="63" t="n">
        <v>0</v>
      </c>
      <c r="BC28" s="68" t="n">
        <v>3</v>
      </c>
      <c r="BD28" s="63" t="n">
        <v>0</v>
      </c>
      <c r="BE28" s="68" t="n">
        <v>3</v>
      </c>
    </row>
    <row r="29" ht="20.25" customHeight="1" s="58">
      <c r="A29" s="80" t="n"/>
      <c r="D29" s="3" t="inlineStr">
        <is>
          <t>Streaming</t>
        </is>
      </c>
      <c r="E29" s="94" t="n">
        <v>750</v>
      </c>
      <c r="F29" s="72" t="n">
        <v>0</v>
      </c>
      <c r="G29" s="66" t="n">
        <v>1</v>
      </c>
      <c r="H29" s="72" t="n">
        <v>0</v>
      </c>
      <c r="I29" s="66" t="n">
        <v>1</v>
      </c>
      <c r="J29" s="72" t="n">
        <v>0</v>
      </c>
      <c r="K29" s="66" t="n">
        <v>1</v>
      </c>
      <c r="L29" s="72" t="n">
        <v>0</v>
      </c>
      <c r="M29" s="66" t="n">
        <v>2</v>
      </c>
      <c r="N29" s="72" t="n">
        <v>0</v>
      </c>
      <c r="O29" s="66" t="n">
        <v>1</v>
      </c>
      <c r="P29" s="72" t="n">
        <v>0</v>
      </c>
      <c r="Q29" s="66" t="n">
        <v>3</v>
      </c>
      <c r="R29" s="72" t="n">
        <v>0</v>
      </c>
      <c r="S29" s="66" t="n">
        <v>1</v>
      </c>
      <c r="T29" s="72" t="n">
        <v>0</v>
      </c>
      <c r="U29" s="66" t="n">
        <v>1</v>
      </c>
      <c r="V29" s="72" t="n">
        <v>972.1345747</v>
      </c>
      <c r="W29" s="66" t="n">
        <v>1.5</v>
      </c>
      <c r="X29" s="72" t="n">
        <v>0</v>
      </c>
      <c r="Y29" s="66" t="n">
        <v>1</v>
      </c>
      <c r="Z29" s="72" t="n">
        <v>0</v>
      </c>
      <c r="AA29" s="66" t="n">
        <v>2</v>
      </c>
      <c r="AB29" s="72" t="n">
        <v>0</v>
      </c>
      <c r="AC29" s="66" t="n">
        <v>3</v>
      </c>
      <c r="AD29" s="72" t="n">
        <v>0</v>
      </c>
      <c r="AE29" s="66" t="n">
        <v>1.5</v>
      </c>
      <c r="AF29" s="72" t="n">
        <v>0</v>
      </c>
      <c r="AG29" s="66" t="n">
        <v>1</v>
      </c>
      <c r="AH29" s="72" t="n">
        <v>0</v>
      </c>
      <c r="AI29" s="66" t="n">
        <v>1</v>
      </c>
      <c r="AJ29" s="72" t="n">
        <v>0</v>
      </c>
      <c r="AK29" s="66" t="n">
        <v>1</v>
      </c>
      <c r="AL29" s="72" t="n">
        <v>0</v>
      </c>
      <c r="AM29" s="66" t="n">
        <v>2</v>
      </c>
      <c r="AN29" s="72" t="n">
        <v>0</v>
      </c>
      <c r="AO29" s="66" t="n">
        <v>3.33</v>
      </c>
      <c r="AP29" s="72" t="n">
        <v>0</v>
      </c>
      <c r="AQ29" s="66" t="n">
        <v>2.33</v>
      </c>
      <c r="AR29" s="72" t="n">
        <v>0</v>
      </c>
      <c r="AS29" s="66" t="n">
        <v>2.33</v>
      </c>
      <c r="AT29" s="72" t="n">
        <v>0</v>
      </c>
      <c r="AU29" s="66" t="n">
        <v>1</v>
      </c>
      <c r="AV29" s="72" t="n">
        <v>0</v>
      </c>
      <c r="AW29" s="66" t="n">
        <v>1</v>
      </c>
      <c r="AX29" s="72" t="n">
        <v>0</v>
      </c>
      <c r="AY29" s="66" t="n">
        <v>1</v>
      </c>
      <c r="AZ29" s="72" t="n">
        <v>0</v>
      </c>
      <c r="BA29" s="66" t="n">
        <v>1</v>
      </c>
      <c r="BB29" s="72" t="n">
        <v>0</v>
      </c>
      <c r="BC29" s="66" t="n">
        <v>3</v>
      </c>
      <c r="BD29" s="72" t="n">
        <v>0</v>
      </c>
      <c r="BE29" s="66" t="n">
        <v>3</v>
      </c>
    </row>
    <row r="30" ht="20.25" customHeight="1" s="58">
      <c r="A30" s="83" t="n"/>
      <c r="B30" s="83" t="n"/>
      <c r="C30" s="47" t="n"/>
      <c r="D30" s="1" t="inlineStr">
        <is>
          <t>Software, Hardware</t>
        </is>
      </c>
      <c r="E30" s="93" t="n">
        <v>2500</v>
      </c>
      <c r="F30" s="63" t="n">
        <v>0</v>
      </c>
      <c r="G30" s="68" t="n">
        <v>1</v>
      </c>
      <c r="H30" s="63" t="n">
        <v>0</v>
      </c>
      <c r="I30" s="68" t="n">
        <v>1</v>
      </c>
      <c r="J30" s="63" t="n">
        <v>0</v>
      </c>
      <c r="K30" s="68" t="n">
        <v>4</v>
      </c>
      <c r="L30" s="63" t="n">
        <v>0</v>
      </c>
      <c r="M30" s="68" t="n">
        <v>2</v>
      </c>
      <c r="N30" s="63" t="n">
        <v>0</v>
      </c>
      <c r="O30" s="68" t="n">
        <v>1</v>
      </c>
      <c r="P30" s="63" t="n">
        <v>0</v>
      </c>
      <c r="Q30" s="68" t="n">
        <v>1</v>
      </c>
      <c r="R30" s="63" t="n">
        <v>0</v>
      </c>
      <c r="S30" s="68" t="n">
        <v>1</v>
      </c>
      <c r="T30" s="63" t="n">
        <v>0</v>
      </c>
      <c r="U30" s="68" t="n">
        <v>1</v>
      </c>
      <c r="V30" s="63" t="n">
        <v>3240.448582</v>
      </c>
      <c r="W30" s="68" t="n">
        <v>1.5</v>
      </c>
      <c r="X30" s="63" t="n">
        <v>0</v>
      </c>
      <c r="Y30" s="68" t="n">
        <v>1</v>
      </c>
      <c r="Z30" s="63" t="n">
        <v>0</v>
      </c>
      <c r="AA30" s="68" t="n">
        <v>2</v>
      </c>
      <c r="AB30" s="63" t="n">
        <v>0</v>
      </c>
      <c r="AC30" s="68" t="n">
        <v>1</v>
      </c>
      <c r="AD30" s="63" t="n">
        <v>0</v>
      </c>
      <c r="AE30" s="68" t="n">
        <v>1.5</v>
      </c>
      <c r="AF30" s="63" t="n">
        <v>0</v>
      </c>
      <c r="AG30" s="68" t="n">
        <v>1</v>
      </c>
      <c r="AH30" s="63" t="n">
        <v>0</v>
      </c>
      <c r="AI30" s="68" t="n">
        <v>1</v>
      </c>
      <c r="AJ30" s="63" t="n">
        <v>0</v>
      </c>
      <c r="AK30" s="68" t="n">
        <v>1</v>
      </c>
      <c r="AL30" s="63" t="n">
        <v>0</v>
      </c>
      <c r="AM30" s="68" t="n">
        <v>2</v>
      </c>
      <c r="AN30" s="63" t="n">
        <v>0</v>
      </c>
      <c r="AO30" s="68" t="n">
        <v>3.33</v>
      </c>
      <c r="AP30" s="63" t="n">
        <v>0</v>
      </c>
      <c r="AQ30" s="68" t="n">
        <v>2.33</v>
      </c>
      <c r="AR30" s="63" t="n">
        <v>0</v>
      </c>
      <c r="AS30" s="68" t="n">
        <v>2.33</v>
      </c>
      <c r="AT30" s="63" t="n">
        <v>0</v>
      </c>
      <c r="AU30" s="68" t="n">
        <v>1</v>
      </c>
      <c r="AV30" s="63" t="n">
        <v>0</v>
      </c>
      <c r="AW30" s="68" t="n">
        <v>1</v>
      </c>
      <c r="AX30" s="63" t="n">
        <v>0</v>
      </c>
      <c r="AY30" s="68" t="n">
        <v>1</v>
      </c>
      <c r="AZ30" s="63" t="n">
        <v>0</v>
      </c>
      <c r="BA30" s="68" t="n">
        <v>1</v>
      </c>
      <c r="BB30" s="63" t="n">
        <v>0</v>
      </c>
      <c r="BC30" s="68" t="n">
        <v>3</v>
      </c>
      <c r="BD30" s="63" t="n">
        <v>0</v>
      </c>
      <c r="BE30" s="68" t="n">
        <v>3</v>
      </c>
    </row>
    <row r="31" ht="20.25" customHeight="1" s="58">
      <c r="A31" s="84" t="n"/>
      <c r="C31" s="48" t="n"/>
      <c r="D31" s="3" t="inlineStr">
        <is>
          <t>Internet</t>
        </is>
      </c>
      <c r="E31" s="94" t="n">
        <v>850</v>
      </c>
      <c r="F31" s="72" t="n">
        <v>0</v>
      </c>
      <c r="G31" s="66" t="n">
        <v>1</v>
      </c>
      <c r="H31" s="72" t="n">
        <v>0</v>
      </c>
      <c r="I31" s="66" t="n">
        <v>1</v>
      </c>
      <c r="J31" s="72" t="n">
        <v>0</v>
      </c>
      <c r="K31" s="66" t="n">
        <v>1</v>
      </c>
      <c r="L31" s="72" t="n">
        <v>0</v>
      </c>
      <c r="M31" s="66" t="n">
        <v>2</v>
      </c>
      <c r="N31" s="72" t="n">
        <v>0</v>
      </c>
      <c r="O31" s="66" t="n">
        <v>1</v>
      </c>
      <c r="P31" s="72" t="n">
        <v>0</v>
      </c>
      <c r="Q31" s="66" t="n">
        <v>1</v>
      </c>
      <c r="R31" s="72" t="n">
        <v>0</v>
      </c>
      <c r="S31" s="66" t="n">
        <v>3</v>
      </c>
      <c r="T31" s="72" t="n">
        <v>0</v>
      </c>
      <c r="U31" s="66" t="n">
        <v>5</v>
      </c>
      <c r="V31" s="72" t="n">
        <v>1101.752518</v>
      </c>
      <c r="W31" s="66" t="n">
        <v>1.5</v>
      </c>
      <c r="X31" s="72" t="n">
        <v>0</v>
      </c>
      <c r="Y31" s="66" t="n">
        <v>1</v>
      </c>
      <c r="Z31" s="72" t="n">
        <v>0</v>
      </c>
      <c r="AA31" s="66" t="n">
        <v>2</v>
      </c>
      <c r="AB31" s="72" t="n">
        <v>0</v>
      </c>
      <c r="AC31" s="66" t="n">
        <v>1</v>
      </c>
      <c r="AD31" s="72" t="n">
        <v>0</v>
      </c>
      <c r="AE31" s="66" t="n">
        <v>1.5</v>
      </c>
      <c r="AF31" s="72" t="n">
        <v>0</v>
      </c>
      <c r="AG31" s="66" t="n">
        <v>1</v>
      </c>
      <c r="AH31" s="72" t="n">
        <v>0</v>
      </c>
      <c r="AI31" s="66" t="n">
        <v>1</v>
      </c>
      <c r="AJ31" s="72" t="n">
        <v>0</v>
      </c>
      <c r="AK31" s="66" t="n">
        <v>1</v>
      </c>
      <c r="AL31" s="72" t="n">
        <v>0</v>
      </c>
      <c r="AM31" s="66" t="n">
        <v>2</v>
      </c>
      <c r="AN31" s="72" t="n">
        <v>0</v>
      </c>
      <c r="AO31" s="66" t="n">
        <v>3.33</v>
      </c>
      <c r="AP31" s="72" t="n">
        <v>0</v>
      </c>
      <c r="AQ31" s="66" t="n">
        <v>2.33</v>
      </c>
      <c r="AR31" s="72" t="n">
        <v>0</v>
      </c>
      <c r="AS31" s="66" t="n">
        <v>2.33</v>
      </c>
      <c r="AT31" s="72" t="n">
        <v>0</v>
      </c>
      <c r="AU31" s="66" t="n">
        <v>1</v>
      </c>
      <c r="AV31" s="72" t="n">
        <v>0</v>
      </c>
      <c r="AW31" s="66" t="n">
        <v>1</v>
      </c>
      <c r="AX31" s="72" t="n">
        <v>0</v>
      </c>
      <c r="AY31" s="66" t="n">
        <v>1</v>
      </c>
      <c r="AZ31" s="72" t="n">
        <v>0</v>
      </c>
      <c r="BA31" s="66" t="n">
        <v>1</v>
      </c>
      <c r="BB31" s="72" t="n">
        <v>0</v>
      </c>
      <c r="BC31" s="66" t="n">
        <v>3</v>
      </c>
      <c r="BD31" s="72" t="n">
        <v>0</v>
      </c>
      <c r="BE31" s="66" t="n">
        <v>3</v>
      </c>
    </row>
    <row r="32" ht="20.25" customHeight="1" s="58">
      <c r="A32" s="83" t="n"/>
      <c r="B32" s="83" t="n"/>
      <c r="C32" s="47" t="n"/>
      <c r="D32" s="1" t="inlineStr">
        <is>
          <t>Phone</t>
        </is>
      </c>
      <c r="E32" s="93" t="n">
        <v>1650</v>
      </c>
      <c r="F32" s="63" t="n">
        <v>0</v>
      </c>
      <c r="G32" s="68" t="n">
        <v>1</v>
      </c>
      <c r="H32" s="63" t="n">
        <v>0</v>
      </c>
      <c r="I32" s="68" t="n">
        <v>1</v>
      </c>
      <c r="J32" s="63" t="n">
        <v>0</v>
      </c>
      <c r="K32" s="68" t="n">
        <v>4</v>
      </c>
      <c r="L32" s="63" t="n">
        <v>0</v>
      </c>
      <c r="M32" s="68" t="n">
        <v>2</v>
      </c>
      <c r="N32" s="63" t="n">
        <v>0</v>
      </c>
      <c r="O32" s="68" t="n">
        <v>1</v>
      </c>
      <c r="P32" s="63" t="n">
        <v>0</v>
      </c>
      <c r="Q32" s="68" t="n">
        <v>1</v>
      </c>
      <c r="R32" s="63" t="n">
        <v>0</v>
      </c>
      <c r="S32" s="68" t="n">
        <v>3</v>
      </c>
      <c r="T32" s="63" t="n">
        <v>0</v>
      </c>
      <c r="U32" s="68" t="n">
        <v>5</v>
      </c>
      <c r="V32" s="63" t="n">
        <v>2138.696064</v>
      </c>
      <c r="W32" s="68" t="n">
        <v>1.5</v>
      </c>
      <c r="X32" s="63" t="n">
        <v>0</v>
      </c>
      <c r="Y32" s="68" t="n">
        <v>1</v>
      </c>
      <c r="Z32" s="63" t="n">
        <v>0</v>
      </c>
      <c r="AA32" s="68" t="n">
        <v>2</v>
      </c>
      <c r="AB32" s="63" t="n">
        <v>0</v>
      </c>
      <c r="AC32" s="68" t="n">
        <v>1</v>
      </c>
      <c r="AD32" s="63" t="n">
        <v>0</v>
      </c>
      <c r="AE32" s="68" t="n">
        <v>1.5</v>
      </c>
      <c r="AF32" s="63" t="n">
        <v>0</v>
      </c>
      <c r="AG32" s="68" t="n">
        <v>1</v>
      </c>
      <c r="AH32" s="63" t="n">
        <v>0</v>
      </c>
      <c r="AI32" s="68" t="n">
        <v>1</v>
      </c>
      <c r="AJ32" s="63" t="n">
        <v>0</v>
      </c>
      <c r="AK32" s="68" t="n">
        <v>1</v>
      </c>
      <c r="AL32" s="63" t="n">
        <v>0</v>
      </c>
      <c r="AM32" s="68" t="n">
        <v>2</v>
      </c>
      <c r="AN32" s="63" t="n">
        <v>0</v>
      </c>
      <c r="AO32" s="68" t="n">
        <v>3.33</v>
      </c>
      <c r="AP32" s="63" t="n">
        <v>0</v>
      </c>
      <c r="AQ32" s="68" t="n">
        <v>2.33</v>
      </c>
      <c r="AR32" s="63" t="n">
        <v>0</v>
      </c>
      <c r="AS32" s="68" t="n">
        <v>2.33</v>
      </c>
      <c r="AT32" s="63" t="n">
        <v>0</v>
      </c>
      <c r="AU32" s="68" t="n">
        <v>1</v>
      </c>
      <c r="AV32" s="63" t="n">
        <v>0</v>
      </c>
      <c r="AW32" s="68" t="n">
        <v>1</v>
      </c>
      <c r="AX32" s="63" t="n">
        <v>0</v>
      </c>
      <c r="AY32" s="68" t="n">
        <v>1</v>
      </c>
      <c r="AZ32" s="63" t="n">
        <v>0</v>
      </c>
      <c r="BA32" s="68" t="n">
        <v>1</v>
      </c>
      <c r="BB32" s="63" t="n">
        <v>0</v>
      </c>
      <c r="BC32" s="68" t="n">
        <v>3</v>
      </c>
      <c r="BD32" s="63" t="n">
        <v>0</v>
      </c>
      <c r="BE32" s="68" t="n">
        <v>3</v>
      </c>
    </row>
    <row r="33" ht="20.25" customHeight="1" s="58">
      <c r="A33" s="80" t="n"/>
      <c r="D33" s="3" t="inlineStr">
        <is>
          <t>Airlines</t>
        </is>
      </c>
      <c r="E33" s="94" t="n">
        <v>1200</v>
      </c>
      <c r="F33" s="72" t="n">
        <v>0</v>
      </c>
      <c r="G33" s="66" t="n">
        <v>5</v>
      </c>
      <c r="H33" s="72" t="n">
        <v>2679.96767</v>
      </c>
      <c r="I33" s="66" t="n">
        <v>3</v>
      </c>
      <c r="J33" s="72" t="n">
        <v>0</v>
      </c>
      <c r="K33" s="66" t="n">
        <v>3</v>
      </c>
      <c r="L33" s="72" t="n">
        <v>0</v>
      </c>
      <c r="M33" s="66" t="n">
        <v>2</v>
      </c>
      <c r="N33" s="72" t="n">
        <v>0</v>
      </c>
      <c r="O33" s="66" t="n">
        <v>4</v>
      </c>
      <c r="P33" s="72" t="n">
        <v>0</v>
      </c>
      <c r="Q33" s="66" t="n">
        <v>2</v>
      </c>
      <c r="R33" s="72" t="n">
        <v>0</v>
      </c>
      <c r="S33" s="66" t="n">
        <v>3</v>
      </c>
      <c r="T33" s="72" t="n">
        <v>0</v>
      </c>
      <c r="U33" s="66" t="n">
        <v>1</v>
      </c>
      <c r="V33" s="72" t="n">
        <v>0</v>
      </c>
      <c r="W33" s="66" t="n">
        <v>1.5</v>
      </c>
      <c r="X33" s="72" t="n">
        <v>0</v>
      </c>
      <c r="Y33" s="66" t="n">
        <v>1</v>
      </c>
      <c r="Z33" s="72" t="n">
        <v>0</v>
      </c>
      <c r="AA33" s="66" t="n">
        <v>2</v>
      </c>
      <c r="AB33" s="72" t="n">
        <v>0</v>
      </c>
      <c r="AC33" s="66" t="n">
        <v>1</v>
      </c>
      <c r="AD33" s="72" t="n">
        <v>0</v>
      </c>
      <c r="AE33" s="66" t="n">
        <v>6</v>
      </c>
      <c r="AF33" s="72" t="n">
        <v>0</v>
      </c>
      <c r="AG33" s="66" t="n">
        <v>3</v>
      </c>
      <c r="AH33" s="72" t="n">
        <v>0</v>
      </c>
      <c r="AI33" s="66" t="n">
        <v>1</v>
      </c>
      <c r="AJ33" s="72" t="n">
        <v>0</v>
      </c>
      <c r="AK33" s="66" t="n">
        <v>1</v>
      </c>
      <c r="AL33" s="72" t="n">
        <v>0</v>
      </c>
      <c r="AM33" s="66" t="n">
        <v>2</v>
      </c>
      <c r="AN33" s="72" t="n">
        <v>0</v>
      </c>
      <c r="AO33" s="66" t="n">
        <v>3.33</v>
      </c>
      <c r="AP33" s="72" t="n">
        <v>0</v>
      </c>
      <c r="AQ33" s="66" t="n">
        <v>3.33</v>
      </c>
      <c r="AR33" s="72" t="n">
        <v>0</v>
      </c>
      <c r="AS33" s="66" t="n">
        <v>2.33</v>
      </c>
      <c r="AT33" s="72" t="n">
        <v>0</v>
      </c>
      <c r="AU33" s="66" t="n">
        <v>2</v>
      </c>
      <c r="AV33" s="72" t="n">
        <v>0</v>
      </c>
      <c r="AW33" s="66" t="n">
        <v>2</v>
      </c>
      <c r="AX33" s="72" t="n">
        <v>0</v>
      </c>
      <c r="AY33" s="66" t="n">
        <v>3</v>
      </c>
      <c r="AZ33" s="72" t="n">
        <v>0</v>
      </c>
      <c r="BA33" s="66" t="n">
        <v>3</v>
      </c>
      <c r="BB33" s="72" t="n">
        <v>0</v>
      </c>
      <c r="BC33" s="66" t="n">
        <v>3</v>
      </c>
      <c r="BD33" s="72" t="n">
        <v>0</v>
      </c>
      <c r="BE33" s="66" t="n">
        <v>7</v>
      </c>
    </row>
    <row r="34" ht="20.25" customHeight="1" s="58">
      <c r="A34" s="83" t="n"/>
      <c r="C34" s="47" t="n"/>
      <c r="D34" s="1" t="inlineStr">
        <is>
          <t>Hotels</t>
        </is>
      </c>
      <c r="E34" s="93" t="n">
        <v>800</v>
      </c>
      <c r="F34" s="63" t="n">
        <v>0</v>
      </c>
      <c r="G34" s="68" t="n">
        <v>1</v>
      </c>
      <c r="H34" s="63" t="n">
        <v>0</v>
      </c>
      <c r="I34" s="68" t="n">
        <v>1</v>
      </c>
      <c r="J34" s="63" t="n">
        <v>0</v>
      </c>
      <c r="K34" s="68" t="n">
        <v>1</v>
      </c>
      <c r="L34" s="63" t="n">
        <v>0</v>
      </c>
      <c r="M34" s="68" t="n">
        <v>2</v>
      </c>
      <c r="N34" s="63" t="n">
        <v>0</v>
      </c>
      <c r="O34" s="68" t="n">
        <v>4</v>
      </c>
      <c r="P34" s="63" t="n">
        <v>0</v>
      </c>
      <c r="Q34" s="68" t="n">
        <v>2</v>
      </c>
      <c r="R34" s="63" t="n">
        <v>0</v>
      </c>
      <c r="S34" s="68" t="n">
        <v>3</v>
      </c>
      <c r="T34" s="63" t="n">
        <v>0</v>
      </c>
      <c r="U34" s="68" t="n">
        <v>1</v>
      </c>
      <c r="V34" s="63" t="n">
        <v>1036.943546</v>
      </c>
      <c r="W34" s="68" t="n">
        <v>1.5</v>
      </c>
      <c r="X34" s="63" t="n">
        <v>0</v>
      </c>
      <c r="Y34" s="68" t="n">
        <v>1</v>
      </c>
      <c r="Z34" s="63" t="n">
        <v>0</v>
      </c>
      <c r="AA34" s="68" t="n">
        <v>2</v>
      </c>
      <c r="AB34" s="63" t="n">
        <v>0</v>
      </c>
      <c r="AC34" s="68" t="n">
        <v>1</v>
      </c>
      <c r="AD34" s="63" t="n">
        <v>0</v>
      </c>
      <c r="AE34" s="68" t="n">
        <v>1.5</v>
      </c>
      <c r="AF34" s="63" t="n">
        <v>0</v>
      </c>
      <c r="AG34" s="68" t="n">
        <v>3</v>
      </c>
      <c r="AH34" s="63" t="n">
        <v>0</v>
      </c>
      <c r="AI34" s="68" t="n">
        <v>1</v>
      </c>
      <c r="AJ34" s="63" t="n">
        <v>0</v>
      </c>
      <c r="AK34" s="68" t="n">
        <v>1</v>
      </c>
      <c r="AL34" s="63" t="n">
        <v>0</v>
      </c>
      <c r="AM34" s="68" t="n">
        <v>2</v>
      </c>
      <c r="AN34" s="63" t="n">
        <v>0</v>
      </c>
      <c r="AO34" s="68" t="n">
        <v>3.33</v>
      </c>
      <c r="AP34" s="63" t="n">
        <v>0</v>
      </c>
      <c r="AQ34" s="68" t="n">
        <v>3.33</v>
      </c>
      <c r="AR34" s="63" t="n">
        <v>0</v>
      </c>
      <c r="AS34" s="68" t="n">
        <v>2.33</v>
      </c>
      <c r="AT34" s="63" t="n">
        <v>0</v>
      </c>
      <c r="AU34" s="68" t="n">
        <v>1</v>
      </c>
      <c r="AV34" s="63" t="n">
        <v>0</v>
      </c>
      <c r="AW34" s="68" t="n">
        <v>1</v>
      </c>
      <c r="AX34" s="63" t="n">
        <v>0</v>
      </c>
      <c r="AY34" s="68" t="n">
        <v>3</v>
      </c>
      <c r="AZ34" s="63" t="n">
        <v>0</v>
      </c>
      <c r="BA34" s="68" t="n">
        <v>1</v>
      </c>
      <c r="BB34" s="63" t="n">
        <v>0</v>
      </c>
      <c r="BC34" s="68" t="n">
        <v>30</v>
      </c>
      <c r="BD34" s="63" t="n">
        <v>0</v>
      </c>
      <c r="BE34" s="68" t="n">
        <v>34</v>
      </c>
    </row>
    <row r="35" ht="20.25" customHeight="1" s="58">
      <c r="A35" s="80" t="n"/>
      <c r="D35" s="3" t="inlineStr">
        <is>
          <t>Rotating</t>
        </is>
      </c>
      <c r="E35" s="94" t="n">
        <v>3000</v>
      </c>
      <c r="F35" s="72" t="n">
        <v>0</v>
      </c>
      <c r="G35" s="66" t="n">
        <v>0</v>
      </c>
      <c r="H35" s="72" t="n">
        <v>0</v>
      </c>
      <c r="I35" s="66" t="n">
        <v>0</v>
      </c>
      <c r="J35" s="72" t="n">
        <v>0</v>
      </c>
      <c r="K35" s="66" t="n">
        <v>0</v>
      </c>
      <c r="L35" s="72" t="n">
        <v>0</v>
      </c>
      <c r="M35" s="66" t="n">
        <v>0</v>
      </c>
      <c r="N35" s="72" t="n">
        <v>0</v>
      </c>
      <c r="O35" s="66" t="n">
        <v>0</v>
      </c>
      <c r="P35" s="72" t="n">
        <v>0</v>
      </c>
      <c r="Q35" s="66" t="n">
        <v>0</v>
      </c>
      <c r="R35" s="72" t="n">
        <v>0</v>
      </c>
      <c r="S35" s="66" t="n">
        <v>0</v>
      </c>
      <c r="T35" s="72" t="n">
        <v>0</v>
      </c>
      <c r="U35" s="66" t="n">
        <v>0</v>
      </c>
      <c r="V35" s="72" t="n">
        <v>0</v>
      </c>
      <c r="W35" s="66" t="n">
        <v>0</v>
      </c>
      <c r="X35" s="72" t="n">
        <v>0</v>
      </c>
      <c r="Y35" s="66" t="n">
        <v>5</v>
      </c>
      <c r="Z35" s="72" t="n">
        <v>0</v>
      </c>
      <c r="AA35" s="66" t="n">
        <v>0</v>
      </c>
      <c r="AB35" s="72" t="n">
        <v>0</v>
      </c>
      <c r="AC35" s="66" t="n">
        <v>0</v>
      </c>
      <c r="AD35" s="72" t="n">
        <v>0</v>
      </c>
      <c r="AE35" s="66" t="n">
        <v>0</v>
      </c>
      <c r="AF35" s="72" t="n">
        <v>0</v>
      </c>
      <c r="AG35" s="66" t="n">
        <v>0</v>
      </c>
      <c r="AH35" s="72" t="n">
        <v>0</v>
      </c>
      <c r="AI35" s="66" t="n">
        <v>0</v>
      </c>
      <c r="AJ35" s="72" t="n">
        <v>0</v>
      </c>
      <c r="AK35" s="66" t="n">
        <v>0</v>
      </c>
      <c r="AL35" s="72" t="n">
        <v>0</v>
      </c>
      <c r="AM35" s="66" t="n">
        <v>0</v>
      </c>
      <c r="AN35" s="72" t="n">
        <v>0</v>
      </c>
      <c r="AO35" s="66" t="n">
        <v>0</v>
      </c>
      <c r="AP35" s="72" t="n">
        <v>0</v>
      </c>
      <c r="AQ35" s="66" t="n">
        <v>0</v>
      </c>
      <c r="AR35" s="72" t="n">
        <v>0</v>
      </c>
      <c r="AS35" s="66" t="n">
        <v>0</v>
      </c>
      <c r="AT35" s="72" t="n">
        <v>0</v>
      </c>
      <c r="AU35" s="66" t="n">
        <v>0</v>
      </c>
      <c r="AV35" s="72" t="n">
        <v>0</v>
      </c>
      <c r="AW35" s="66" t="n">
        <v>0</v>
      </c>
      <c r="AX35" s="72" t="n">
        <v>0</v>
      </c>
      <c r="AY35" s="66" t="n">
        <v>0</v>
      </c>
      <c r="AZ35" s="72" t="n">
        <v>0</v>
      </c>
      <c r="BA35" s="66" t="n">
        <v>0</v>
      </c>
      <c r="BB35" s="72" t="n">
        <v>0</v>
      </c>
      <c r="BC35" s="66" t="n">
        <v>0</v>
      </c>
      <c r="BD35" s="72" t="n">
        <v>0</v>
      </c>
      <c r="BE35" s="66" t="n">
        <v>0</v>
      </c>
    </row>
    <row r="36" ht="20.25" customHeight="1" s="58">
      <c r="A36" s="83" t="n"/>
      <c r="C36" s="47" t="n"/>
      <c r="D36" s="88" t="inlineStr">
        <is>
          <t>Misc. Travel</t>
        </is>
      </c>
      <c r="E36" s="88">
        <f>SUMIF($G$1:$AS$1,TRUE,$G36:$AS36)</f>
        <v/>
      </c>
      <c r="F36" s="1" t="inlineStr">
        <is>
          <t>Airline Fees</t>
        </is>
      </c>
      <c r="G36" s="104" t="n">
        <v>50</v>
      </c>
      <c r="H36" s="1" t="n"/>
      <c r="I36" s="104" t="n"/>
      <c r="J36" s="50" t="n"/>
      <c r="K36" s="93" t="n"/>
      <c r="L36" s="50" t="n"/>
      <c r="M36" s="93" t="n"/>
      <c r="N36" s="88" t="inlineStr">
        <is>
          <t>All Travel Credit</t>
        </is>
      </c>
      <c r="O36" s="104" t="n">
        <v>300</v>
      </c>
      <c r="P36" s="50" t="n"/>
      <c r="Q36" s="93" t="n"/>
      <c r="R36" s="50" t="n"/>
      <c r="S36" s="93" t="n"/>
      <c r="T36" s="50" t="n"/>
      <c r="U36" s="93" t="n"/>
      <c r="V36" s="50" t="n"/>
      <c r="W36" s="93" t="n"/>
      <c r="X36" s="50" t="n"/>
      <c r="Y36" s="93" t="n"/>
      <c r="Z36" s="50" t="inlineStr">
        <is>
          <t>Capital One Travel</t>
        </is>
      </c>
      <c r="AA36" s="93" t="n">
        <v>300</v>
      </c>
      <c r="AB36" s="50" t="n"/>
      <c r="AC36" s="93" t="n"/>
      <c r="AD36" s="50" t="inlineStr">
        <is>
          <t>Blacklane</t>
        </is>
      </c>
      <c r="AE36" s="93" t="n">
        <v>0</v>
      </c>
      <c r="AF36" s="50" t="n"/>
      <c r="AG36" s="93" t="n"/>
      <c r="AH36" s="50" t="n"/>
      <c r="AI36" s="93" t="n"/>
      <c r="AJ36" s="50" t="n"/>
      <c r="AK36" s="93" t="n"/>
      <c r="AL36" s="50" t="n"/>
      <c r="AM36" s="93" t="n"/>
      <c r="AN36" s="50" t="n"/>
      <c r="AO36" s="93" t="n"/>
      <c r="AP36" s="50" t="n"/>
      <c r="AQ36" s="93" t="n"/>
      <c r="AR36" s="50" t="n"/>
      <c r="AS36" s="93" t="n"/>
      <c r="AT36" s="50" t="inlineStr">
        <is>
          <t>Free 1st Checked Bag</t>
        </is>
      </c>
      <c r="AU36" s="93" t="n">
        <v>35</v>
      </c>
      <c r="AV36" s="50" t="inlineStr">
        <is>
          <t>Free 1st Checked Bag</t>
        </is>
      </c>
      <c r="AW36" s="93" t="n">
        <v>35</v>
      </c>
      <c r="AX36" s="50" t="inlineStr">
        <is>
          <t>Free 1st Checked Bag</t>
        </is>
      </c>
      <c r="AY36" s="93" t="n">
        <v>35</v>
      </c>
      <c r="AZ36" s="50" t="inlineStr">
        <is>
          <t>Free 1st Checked Bag</t>
        </is>
      </c>
      <c r="BA36" s="93" t="n">
        <v>35</v>
      </c>
      <c r="BB36" s="50" t="n"/>
      <c r="BC36" s="93" t="n"/>
      <c r="BD36" s="50" t="n"/>
      <c r="BE36" s="93" t="n"/>
    </row>
    <row r="37" ht="20.25" customHeight="1" s="58">
      <c r="A37" s="80" t="n"/>
      <c r="D37" s="91" t="inlineStr">
        <is>
          <t>Hotel Collection</t>
        </is>
      </c>
      <c r="E37" s="91">
        <f>SUMIF($G$1:$AS$1,TRUE,$G37:$AS37)</f>
        <v/>
      </c>
      <c r="F37" s="3" t="inlineStr">
        <is>
          <t>Fine Hotels &amp; Resorts</t>
        </is>
      </c>
      <c r="G37" s="105" t="n">
        <v>0</v>
      </c>
      <c r="H37" s="3" t="inlineStr">
        <is>
          <t xml:space="preserve">Hotel Col. Benefits </t>
        </is>
      </c>
      <c r="I37" s="105" t="n">
        <v>0</v>
      </c>
      <c r="J37" s="52" t="n"/>
      <c r="K37" s="94" t="n"/>
      <c r="L37" s="52" t="n"/>
      <c r="M37" s="94" t="n"/>
      <c r="N37" s="3" t="inlineStr">
        <is>
          <t>The Edit/Chase Partner</t>
        </is>
      </c>
      <c r="O37" s="105" t="n">
        <v>0</v>
      </c>
      <c r="P37" s="52" t="inlineStr">
        <is>
          <t>Chase Travel Hotels</t>
        </is>
      </c>
      <c r="Q37" s="94" t="n">
        <v>0</v>
      </c>
      <c r="R37" s="52" t="n"/>
      <c r="S37" s="94" t="n"/>
      <c r="T37" s="52" t="n"/>
      <c r="U37" s="94" t="n"/>
      <c r="V37" s="52" t="n"/>
      <c r="W37" s="94" t="n"/>
      <c r="X37" s="52" t="n"/>
      <c r="Y37" s="94" t="n"/>
      <c r="Z37" s="52" t="n"/>
      <c r="AA37" s="94" t="n"/>
      <c r="AB37" s="52" t="n"/>
      <c r="AC37" s="94" t="n"/>
      <c r="AD37" s="52" t="inlineStr">
        <is>
          <t>Citi Travel Hotels</t>
        </is>
      </c>
      <c r="AE37" s="94" t="n">
        <v>0</v>
      </c>
      <c r="AF37" s="52" t="inlineStr">
        <is>
          <t>Citi Travel Hotels</t>
        </is>
      </c>
      <c r="AG37" s="94" t="n">
        <v>0</v>
      </c>
      <c r="AH37" s="52" t="inlineStr">
        <is>
          <t>Citi Travel Hotels</t>
        </is>
      </c>
      <c r="AI37" s="94" t="n">
        <v>0</v>
      </c>
      <c r="AJ37" s="52" t="n"/>
      <c r="AK37" s="94" t="n"/>
      <c r="AL37" s="52" t="n"/>
      <c r="AM37" s="94" t="n"/>
      <c r="AN37" s="52" t="inlineStr">
        <is>
          <t>Bilt Travel Hotels</t>
        </is>
      </c>
      <c r="AO37" s="94" t="n">
        <v>0</v>
      </c>
      <c r="AP37" s="52" t="inlineStr">
        <is>
          <t>Bilt Travel Hotels</t>
        </is>
      </c>
      <c r="AQ37" s="94" t="n">
        <v>0</v>
      </c>
      <c r="AR37" s="52" t="n"/>
      <c r="AS37" s="94" t="n"/>
      <c r="AT37" s="52" t="inlineStr">
        <is>
          <t>Delta Stays Hotels</t>
        </is>
      </c>
      <c r="AU37" s="94" t="n">
        <v>50</v>
      </c>
      <c r="AV37" s="52" t="inlineStr">
        <is>
          <t>Delta Stays Hotels</t>
        </is>
      </c>
      <c r="AW37" s="94" t="n">
        <v>75</v>
      </c>
      <c r="AX37" s="52" t="inlineStr">
        <is>
          <t>Delta Stays Hotels</t>
        </is>
      </c>
      <c r="AY37" s="94" t="n">
        <v>75</v>
      </c>
      <c r="AZ37" s="52" t="inlineStr">
        <is>
          <t>Delta Stays Hotels</t>
        </is>
      </c>
      <c r="BA37" s="94" t="n">
        <v>100</v>
      </c>
      <c r="BB37" s="52" t="inlineStr">
        <is>
          <t>Hilton Credit</t>
        </is>
      </c>
      <c r="BC37" s="94" t="n">
        <v>200</v>
      </c>
      <c r="BD37" s="52" t="inlineStr">
        <is>
          <t>Hilton Resort Credit</t>
        </is>
      </c>
      <c r="BE37" s="94" t="n">
        <v>200</v>
      </c>
    </row>
    <row r="38" ht="20.25" customHeight="1" s="58">
      <c r="A38" s="83" t="n"/>
      <c r="C38" s="47" t="n"/>
      <c r="D38" s="88" t="inlineStr">
        <is>
          <t>Hotel Status</t>
        </is>
      </c>
      <c r="E38" s="88">
        <f>SUMIF($G$1:$AS$1,TRUE,$G38:$AS38)</f>
        <v/>
      </c>
      <c r="F38" s="1" t="inlineStr">
        <is>
          <t>Marriott &amp; Hilton Gold</t>
        </is>
      </c>
      <c r="G38" s="104" t="n">
        <v>0</v>
      </c>
      <c r="H38" s="1" t="n"/>
      <c r="I38" s="104" t="n"/>
      <c r="J38" s="50" t="n"/>
      <c r="K38" s="93" t="n"/>
      <c r="L38" s="50" t="n"/>
      <c r="M38" s="93" t="n"/>
      <c r="N38" s="1" t="inlineStr">
        <is>
          <t>IHG Platinum Elite</t>
        </is>
      </c>
      <c r="O38" s="104" t="n">
        <v>0</v>
      </c>
      <c r="P38" s="50" t="n"/>
      <c r="Q38" s="93" t="n"/>
      <c r="R38" s="50" t="n"/>
      <c r="S38" s="93" t="n"/>
      <c r="T38" s="50" t="n"/>
      <c r="U38" s="93" t="n"/>
      <c r="V38" s="50" t="n"/>
      <c r="W38" s="93" t="n"/>
      <c r="X38" s="50" t="n"/>
      <c r="Y38" s="93" t="n"/>
      <c r="Z38" s="50" t="n"/>
      <c r="AA38" s="93" t="n"/>
      <c r="AB38" s="50" t="n"/>
      <c r="AC38" s="93" t="n"/>
      <c r="AD38" s="50" t="n"/>
      <c r="AE38" s="93" t="n"/>
      <c r="AF38" s="50" t="n"/>
      <c r="AG38" s="93" t="n"/>
      <c r="AH38" s="50" t="n"/>
      <c r="AI38" s="93" t="n"/>
      <c r="AJ38" s="50" t="n"/>
      <c r="AK38" s="93" t="n"/>
      <c r="AL38" s="50" t="n"/>
      <c r="AM38" s="93" t="n"/>
      <c r="AN38" s="50" t="n"/>
      <c r="AO38" s="93" t="n"/>
      <c r="AP38" s="50" t="n"/>
      <c r="AQ38" s="93" t="n"/>
      <c r="AR38" s="50" t="n"/>
      <c r="AS38" s="93" t="n"/>
      <c r="AT38" s="50" t="n"/>
      <c r="AU38" s="93" t="n"/>
      <c r="AV38" s="50" t="n"/>
      <c r="AW38" s="93" t="n"/>
      <c r="AX38" s="50" t="n"/>
      <c r="AY38" s="93" t="n"/>
      <c r="AZ38" s="50" t="n"/>
      <c r="BA38" s="93" t="n"/>
      <c r="BB38" s="50" t="inlineStr">
        <is>
          <t>Hilton Gold</t>
        </is>
      </c>
      <c r="BC38" s="93" t="n">
        <v>50</v>
      </c>
      <c r="BD38" s="50" t="inlineStr">
        <is>
          <t>Hilton Diamond</t>
        </is>
      </c>
      <c r="BE38" s="93" t="n">
        <v>100</v>
      </c>
    </row>
    <row r="39" ht="20.25" customHeight="1" s="58">
      <c r="A39" s="80" t="n"/>
      <c r="D39" s="91" t="inlineStr">
        <is>
          <t>Rental Car Status</t>
        </is>
      </c>
      <c r="E39" s="91">
        <f>SUMIF($G$1:$AS$1,TRUE,$G39:$AS39)</f>
        <v/>
      </c>
      <c r="F39" s="3" t="inlineStr">
        <is>
          <t>See Notes</t>
        </is>
      </c>
      <c r="G39" s="105" t="n">
        <v>0</v>
      </c>
      <c r="H39" s="53" t="n"/>
      <c r="I39" s="94" t="n"/>
      <c r="J39" s="52" t="n"/>
      <c r="K39" s="94" t="n"/>
      <c r="L39" s="52" t="n"/>
      <c r="M39" s="94" t="n"/>
      <c r="N39" s="3" t="inlineStr">
        <is>
          <t>See Notes</t>
        </is>
      </c>
      <c r="O39" s="105" t="n">
        <v>0</v>
      </c>
      <c r="P39" s="52" t="n"/>
      <c r="Q39" s="94" t="n"/>
      <c r="R39" s="52" t="n"/>
      <c r="S39" s="94" t="n"/>
      <c r="T39" s="52" t="n"/>
      <c r="U39" s="94" t="n"/>
      <c r="V39" s="52" t="n"/>
      <c r="W39" s="94" t="n"/>
      <c r="X39" s="52" t="n"/>
      <c r="Y39" s="94" t="n"/>
      <c r="Z39" s="52" t="inlineStr">
        <is>
          <t>Hertz President's Circle</t>
        </is>
      </c>
      <c r="AA39" s="94" t="n">
        <v>0</v>
      </c>
      <c r="AB39" s="52" t="n"/>
      <c r="AC39" s="94" t="n"/>
      <c r="AD39" s="52" t="n"/>
      <c r="AE39" s="94" t="n"/>
      <c r="AF39" s="52" t="n"/>
      <c r="AG39" s="94" t="n"/>
      <c r="AH39" s="52" t="n"/>
      <c r="AI39" s="94" t="n"/>
      <c r="AJ39" s="52" t="n"/>
      <c r="AK39" s="94" t="n"/>
      <c r="AL39" s="52" t="n"/>
      <c r="AM39" s="94" t="n"/>
      <c r="AN39" s="52" t="n"/>
      <c r="AO39" s="94" t="n"/>
      <c r="AP39" s="52" t="n"/>
      <c r="AQ39" s="94" t="n"/>
      <c r="AR39" s="52" t="n"/>
      <c r="AS39" s="94" t="n"/>
      <c r="AT39" s="52" t="n"/>
      <c r="AU39" s="94" t="n"/>
      <c r="AV39" s="52" t="n"/>
      <c r="AW39" s="94" t="n"/>
      <c r="AX39" s="52" t="inlineStr">
        <is>
          <t>Hertz 5-Star</t>
        </is>
      </c>
      <c r="AY39" s="94" t="n">
        <v>0</v>
      </c>
      <c r="AZ39" s="52" t="inlineStr">
        <is>
          <t>Hertz President's Circle</t>
        </is>
      </c>
      <c r="BA39" s="94" t="n">
        <v>0</v>
      </c>
      <c r="BB39" s="52" t="inlineStr">
        <is>
          <t>National Executive</t>
        </is>
      </c>
      <c r="BC39" s="94" t="n">
        <v>0</v>
      </c>
      <c r="BD39" s="52" t="inlineStr">
        <is>
          <t>National Executive</t>
        </is>
      </c>
      <c r="BE39" s="94" t="n">
        <v>0</v>
      </c>
    </row>
    <row r="40" ht="20.25" customHeight="1" s="58">
      <c r="A40" s="83" t="n"/>
      <c r="C40" s="47" t="n"/>
      <c r="D40" s="88" t="inlineStr">
        <is>
          <t>Lounge Access</t>
        </is>
      </c>
      <c r="E40" s="88">
        <f>SUMIF($G$1:$AS$1,TRUE,$G40:$AS40)</f>
        <v/>
      </c>
      <c r="F40" s="1" t="inlineStr">
        <is>
          <t>Centurion, Delta, PP</t>
        </is>
      </c>
      <c r="G40" s="104" t="n">
        <v>100</v>
      </c>
      <c r="H40" s="1" t="n"/>
      <c r="I40" s="104" t="n"/>
      <c r="J40" s="50" t="n"/>
      <c r="K40" s="93" t="n"/>
      <c r="L40" s="50" t="n"/>
      <c r="M40" s="93" t="n"/>
      <c r="N40" s="1" t="inlineStr">
        <is>
          <t>Sapphire, Priority Pass</t>
        </is>
      </c>
      <c r="O40" s="104" t="n">
        <v>100</v>
      </c>
      <c r="P40" s="50" t="n"/>
      <c r="Q40" s="93" t="n"/>
      <c r="R40" s="50" t="n"/>
      <c r="S40" s="93" t="n"/>
      <c r="T40" s="50" t="n"/>
      <c r="U40" s="93" t="n"/>
      <c r="V40" s="50" t="n"/>
      <c r="W40" s="93" t="n"/>
      <c r="X40" s="50" t="n"/>
      <c r="Y40" s="93" t="n"/>
      <c r="Z40" s="50" t="inlineStr">
        <is>
          <t>Cap-One, Priority Pass</t>
        </is>
      </c>
      <c r="AA40" s="93" t="n">
        <v>50</v>
      </c>
      <c r="AB40" s="50" t="n"/>
      <c r="AC40" s="93" t="n"/>
      <c r="AD40" s="50" t="inlineStr">
        <is>
          <t>Admirals Club, PP</t>
        </is>
      </c>
      <c r="AE40" s="93" t="n">
        <v>50</v>
      </c>
      <c r="AF40" s="50" t="n"/>
      <c r="AG40" s="93" t="n"/>
      <c r="AH40" s="50" t="n"/>
      <c r="AI40" s="93" t="n"/>
      <c r="AJ40" s="50" t="n"/>
      <c r="AK40" s="93" t="n"/>
      <c r="AL40" s="50" t="n"/>
      <c r="AM40" s="93" t="n"/>
      <c r="AN40" s="50" t="inlineStr">
        <is>
          <t>Priority Pass</t>
        </is>
      </c>
      <c r="AO40" s="93" t="n">
        <v>25</v>
      </c>
      <c r="AP40" s="50" t="n"/>
      <c r="AQ40" s="93" t="n"/>
      <c r="AR40" s="50" t="n"/>
      <c r="AS40" s="93" t="n"/>
      <c r="AT40" s="50" t="n"/>
      <c r="AU40" s="93" t="n"/>
      <c r="AV40" s="50" t="n"/>
      <c r="AW40" s="93" t="n"/>
      <c r="AX40" s="50" t="n"/>
      <c r="AY40" s="93" t="n"/>
      <c r="AZ40" s="1" t="inlineStr">
        <is>
          <t>Centurion, 15x Delta</t>
        </is>
      </c>
      <c r="BA40" s="93" t="n">
        <v>100</v>
      </c>
      <c r="BB40" s="1" t="n"/>
      <c r="BC40" s="93" t="n"/>
      <c r="BD40" s="1" t="n"/>
      <c r="BE40" s="93" t="n"/>
    </row>
    <row r="41" ht="20.25" customHeight="1" s="58">
      <c r="A41" s="80" t="n"/>
      <c r="D41" s="91" t="inlineStr">
        <is>
          <t>Airport Security</t>
        </is>
      </c>
      <c r="E41" s="91">
        <f>SUMIF($G$1:$AS$1,TRUE,$G41:$AS41)</f>
        <v/>
      </c>
      <c r="F41" s="3" t="inlineStr">
        <is>
          <t>Global Entry, Clear+</t>
        </is>
      </c>
      <c r="G41" s="105" t="n">
        <v>0</v>
      </c>
      <c r="H41" s="3" t="n"/>
      <c r="I41" s="105" t="n"/>
      <c r="J41" s="52" t="n"/>
      <c r="K41" s="94" t="n"/>
      <c r="L41" s="52" t="n"/>
      <c r="M41" s="94" t="n"/>
      <c r="N41" s="91" t="inlineStr">
        <is>
          <t>Global Entry</t>
        </is>
      </c>
      <c r="O41" s="105" t="n">
        <v>0</v>
      </c>
      <c r="P41" s="52" t="n"/>
      <c r="Q41" s="94" t="n"/>
      <c r="R41" s="52" t="n"/>
      <c r="S41" s="94" t="n"/>
      <c r="T41" s="52" t="n"/>
      <c r="U41" s="94" t="n"/>
      <c r="V41" s="52" t="n"/>
      <c r="W41" s="94" t="n"/>
      <c r="X41" s="52" t="n"/>
      <c r="Y41" s="94" t="n"/>
      <c r="Z41" s="52" t="inlineStr">
        <is>
          <t>Global Entry</t>
        </is>
      </c>
      <c r="AA41" s="94" t="n">
        <v>0</v>
      </c>
      <c r="AB41" s="52" t="n"/>
      <c r="AC41" s="94" t="n"/>
      <c r="AD41" s="52" t="inlineStr">
        <is>
          <t>Global Entry</t>
        </is>
      </c>
      <c r="AE41" s="94" t="n">
        <v>0</v>
      </c>
      <c r="AF41" s="52" t="n"/>
      <c r="AG41" s="94" t="n"/>
      <c r="AH41" s="52" t="n"/>
      <c r="AI41" s="94" t="n"/>
      <c r="AJ41" s="52" t="n"/>
      <c r="AK41" s="94" t="n"/>
      <c r="AL41" s="52" t="n"/>
      <c r="AM41" s="94" t="n"/>
      <c r="AN41" s="52" t="n"/>
      <c r="AO41" s="94" t="n"/>
      <c r="AP41" s="52" t="n"/>
      <c r="AQ41" s="94" t="n"/>
      <c r="AR41" s="52" t="n"/>
      <c r="AS41" s="94" t="n"/>
      <c r="AT41" s="52" t="n"/>
      <c r="AU41" s="94" t="n"/>
      <c r="AV41" s="52" t="inlineStr">
        <is>
          <t>Zone 5 Boarding</t>
        </is>
      </c>
      <c r="AW41" s="94" t="n">
        <v>0</v>
      </c>
      <c r="AX41" s="52" t="inlineStr">
        <is>
          <t>Global Entry</t>
        </is>
      </c>
      <c r="AY41" s="94" t="n">
        <v>0</v>
      </c>
      <c r="AZ41" s="52" t="inlineStr">
        <is>
          <t>Global Entry</t>
        </is>
      </c>
      <c r="BA41" s="94" t="n">
        <v>0</v>
      </c>
      <c r="BB41" s="52" t="n"/>
      <c r="BC41" s="94" t="n"/>
      <c r="BD41" s="52" t="inlineStr">
        <is>
          <t>CLEAR Plus</t>
        </is>
      </c>
      <c r="BE41" s="94" t="n">
        <v>0</v>
      </c>
    </row>
    <row r="42" ht="20.25" customHeight="1" s="58">
      <c r="A42" s="83" t="n"/>
      <c r="C42" s="47" t="n"/>
      <c r="D42" s="88" t="inlineStr">
        <is>
          <t>Flight Credits</t>
        </is>
      </c>
      <c r="E42" s="88">
        <f>SUMIF($G$1:$AS$1,TRUE,$G42:$AS42)</f>
        <v/>
      </c>
      <c r="F42" s="1" t="n"/>
      <c r="G42" s="104" t="n"/>
      <c r="H42" s="1" t="n"/>
      <c r="I42" s="104" t="n"/>
      <c r="J42" s="50" t="n"/>
      <c r="K42" s="93" t="n"/>
      <c r="L42" s="50" t="n"/>
      <c r="M42" s="93" t="n"/>
      <c r="N42" s="88" t="n"/>
      <c r="O42" s="93" t="n"/>
      <c r="P42" s="50" t="n"/>
      <c r="Q42" s="93" t="n"/>
      <c r="R42" s="50" t="n"/>
      <c r="S42" s="93" t="n"/>
      <c r="T42" s="50" t="n"/>
      <c r="U42" s="93" t="n"/>
      <c r="V42" s="50" t="n"/>
      <c r="W42" s="54" t="n"/>
      <c r="X42" s="50" t="n"/>
      <c r="Y42" s="93" t="n"/>
      <c r="Z42" s="50" t="n"/>
      <c r="AA42" s="93" t="n"/>
      <c r="AB42" s="50" t="n"/>
      <c r="AC42" s="93" t="n"/>
      <c r="AD42" s="50" t="n"/>
      <c r="AE42" s="93" t="n"/>
      <c r="AF42" s="50" t="n"/>
      <c r="AG42" s="93" t="n"/>
      <c r="AH42" s="50" t="n"/>
      <c r="AI42" s="93" t="n"/>
      <c r="AJ42" s="50" t="n"/>
      <c r="AK42" s="93" t="n"/>
      <c r="AL42" s="50" t="n"/>
      <c r="AM42" s="93" t="n"/>
      <c r="AN42" s="50" t="n"/>
      <c r="AO42" s="93" t="n"/>
      <c r="AP42" s="50" t="n"/>
      <c r="AQ42" s="93" t="n"/>
      <c r="AR42" s="50" t="n"/>
      <c r="AS42" s="93" t="n"/>
      <c r="AT42" s="50" t="inlineStr">
        <is>
          <t>Delta after $100K</t>
        </is>
      </c>
      <c r="AU42" s="93" t="n">
        <v>0</v>
      </c>
      <c r="AV42" s="50" t="inlineStr">
        <is>
          <t>Delta after $100K</t>
        </is>
      </c>
      <c r="AW42" s="93" t="n">
        <v>0</v>
      </c>
      <c r="AX42" s="50" t="inlineStr">
        <is>
          <t>Companion Cert.</t>
        </is>
      </c>
      <c r="AY42" s="93" t="n">
        <v>500</v>
      </c>
      <c r="AZ42" s="50" t="inlineStr">
        <is>
          <t>Companion Cert.</t>
        </is>
      </c>
      <c r="BA42" s="93" t="n">
        <v>500</v>
      </c>
      <c r="BB42" s="50" t="n"/>
      <c r="BC42" s="93" t="n"/>
      <c r="BD42" s="50" t="inlineStr">
        <is>
          <t>Flight Credit</t>
        </is>
      </c>
      <c r="BE42" s="93" t="n">
        <v>200</v>
      </c>
    </row>
    <row r="43" ht="20.25" customHeight="1" s="58">
      <c r="A43" s="80" t="n"/>
      <c r="D43" s="91" t="inlineStr">
        <is>
          <t>Status Headstart</t>
        </is>
      </c>
      <c r="E43" s="91">
        <f>SUMIF($G$1:$AS$1,TRUE,$G43:$AS43)</f>
        <v/>
      </c>
      <c r="F43" s="3" t="n"/>
      <c r="G43" s="105" t="n"/>
      <c r="H43" s="3" t="n"/>
      <c r="I43" s="105" t="n"/>
      <c r="J43" s="52" t="n"/>
      <c r="K43" s="94" t="n"/>
      <c r="L43" s="52" t="n"/>
      <c r="M43" s="94" t="n"/>
      <c r="N43" s="91" t="n"/>
      <c r="O43" s="94" t="n"/>
      <c r="P43" s="52" t="n"/>
      <c r="Q43" s="94" t="n"/>
      <c r="R43" s="52" t="n"/>
      <c r="S43" s="94" t="n"/>
      <c r="T43" s="52" t="n"/>
      <c r="U43" s="94" t="n"/>
      <c r="V43" s="52" t="n"/>
      <c r="W43" s="55" t="n"/>
      <c r="X43" s="52" t="n"/>
      <c r="Y43" s="94" t="n"/>
      <c r="Z43" s="52" t="n"/>
      <c r="AA43" s="94" t="n"/>
      <c r="AB43" s="52" t="n"/>
      <c r="AC43" s="94" t="n"/>
      <c r="AD43" s="52" t="n"/>
      <c r="AE43" s="94" t="n"/>
      <c r="AF43" s="52" t="n"/>
      <c r="AG43" s="94" t="n"/>
      <c r="AH43" s="52" t="n"/>
      <c r="AI43" s="94" t="n"/>
      <c r="AJ43" s="52" t="n"/>
      <c r="AK43" s="94" t="n"/>
      <c r="AL43" s="52" t="n"/>
      <c r="AM43" s="94" t="n"/>
      <c r="AN43" s="52" t="n"/>
      <c r="AO43" s="94" t="n"/>
      <c r="AP43" s="52" t="n"/>
      <c r="AQ43" s="94" t="n"/>
      <c r="AR43" s="52" t="n"/>
      <c r="AS43" s="94" t="n"/>
      <c r="AT43" s="52" t="n"/>
      <c r="AU43" s="94" t="n"/>
      <c r="AV43" s="52" t="n"/>
      <c r="AW43" s="94" t="n"/>
      <c r="AX43" s="52" t="inlineStr">
        <is>
          <t>$2,500, $1/$20 MQD</t>
        </is>
      </c>
      <c r="AY43" s="94" t="n">
        <v>0</v>
      </c>
      <c r="AZ43" s="52" t="inlineStr">
        <is>
          <t>$2,500, $1/$10 MQD</t>
        </is>
      </c>
      <c r="BA43" s="94" t="n">
        <v>0</v>
      </c>
      <c r="BB43" s="52" t="n"/>
      <c r="BC43" s="94" t="n"/>
      <c r="BD43" s="52" t="n"/>
      <c r="BE43" s="94" t="n"/>
    </row>
    <row r="44" ht="20.25" customHeight="1" s="58">
      <c r="A44" s="83" t="n"/>
      <c r="C44" s="47" t="n"/>
      <c r="D44" s="88" t="inlineStr">
        <is>
          <t>Dining</t>
        </is>
      </c>
      <c r="E44" s="88">
        <f>SUMIF($G$1:$AS$1,TRUE,$G44:$AS44)</f>
        <v/>
      </c>
      <c r="F44" s="1" t="inlineStr">
        <is>
          <t>Resy</t>
        </is>
      </c>
      <c r="G44" s="104" t="n">
        <v>400</v>
      </c>
      <c r="H44" s="1" t="inlineStr">
        <is>
          <t>Resy, Dunkin</t>
        </is>
      </c>
      <c r="I44" s="104" t="n">
        <v>100</v>
      </c>
      <c r="J44" s="50" t="n"/>
      <c r="K44" s="93" t="n"/>
      <c r="L44" s="50" t="n"/>
      <c r="M44" s="93" t="n"/>
      <c r="N44" s="88" t="inlineStr">
        <is>
          <t>Sapphire Excl. Tables</t>
        </is>
      </c>
      <c r="O44" s="93" t="n">
        <v>300</v>
      </c>
      <c r="P44" s="50" t="n"/>
      <c r="Q44" s="93" t="n"/>
      <c r="R44" s="50" t="n"/>
      <c r="S44" s="93" t="n"/>
      <c r="T44" s="50" t="n"/>
      <c r="U44" s="93" t="n"/>
      <c r="V44" s="50" t="n"/>
      <c r="W44" s="54" t="n"/>
      <c r="X44" s="50" t="n"/>
      <c r="Y44" s="93" t="n"/>
      <c r="Z44" s="50" t="n"/>
      <c r="AA44" s="93" t="n"/>
      <c r="AB44" s="50" t="n"/>
      <c r="AC44" s="93" t="n"/>
      <c r="AD44" s="50" t="n"/>
      <c r="AE44" s="93" t="n"/>
      <c r="AF44" s="50" t="n"/>
      <c r="AG44" s="93" t="n"/>
      <c r="AH44" s="50" t="n"/>
      <c r="AI44" s="93" t="n"/>
      <c r="AJ44" s="50" t="n"/>
      <c r="AK44" s="93" t="n"/>
      <c r="AL44" s="50" t="n"/>
      <c r="AM44" s="93" t="n"/>
      <c r="AN44" s="50" t="n"/>
      <c r="AO44" s="93" t="n"/>
      <c r="AP44" s="50" t="n"/>
      <c r="AQ44" s="93" t="n"/>
      <c r="AR44" s="50" t="n"/>
      <c r="AS44" s="93" t="n"/>
      <c r="AT44" s="50" t="n"/>
      <c r="AU44" s="93" t="n"/>
      <c r="AV44" s="50" t="n"/>
      <c r="AW44" s="93" t="n"/>
      <c r="AX44" s="50" t="inlineStr">
        <is>
          <t>Resy</t>
        </is>
      </c>
      <c r="AY44" s="93" t="n">
        <v>120</v>
      </c>
      <c r="AZ44" s="50" t="inlineStr">
        <is>
          <t>Resy</t>
        </is>
      </c>
      <c r="BA44" s="93" t="n">
        <v>240</v>
      </c>
      <c r="BB44" s="50" t="n"/>
      <c r="BC44" s="93" t="n"/>
      <c r="BD44" s="50" t="n"/>
      <c r="BE44" s="93" t="n"/>
    </row>
    <row r="45" ht="20.25" customHeight="1" s="58">
      <c r="A45" s="80" t="n"/>
      <c r="D45" s="91" t="inlineStr">
        <is>
          <t>Streaming</t>
        </is>
      </c>
      <c r="E45" s="91">
        <f>SUMIF($G$1:$AS$1,TRUE,$G45:$AS45)</f>
        <v/>
      </c>
      <c r="F45" s="3" t="inlineStr">
        <is>
          <t>Digital Entertainment</t>
        </is>
      </c>
      <c r="G45" s="105" t="n">
        <v>300</v>
      </c>
      <c r="H45" s="53" t="n"/>
      <c r="I45" s="94" t="n"/>
      <c r="J45" s="52" t="n"/>
      <c r="K45" s="94" t="n"/>
      <c r="L45" s="52" t="n"/>
      <c r="M45" s="94" t="n"/>
      <c r="N45" s="3" t="inlineStr">
        <is>
          <t>Apple TV &amp; Music</t>
        </is>
      </c>
      <c r="O45" s="105" t="n">
        <v>66</v>
      </c>
      <c r="P45" s="52" t="n"/>
      <c r="Q45" s="94" t="n"/>
      <c r="R45" s="52" t="n"/>
      <c r="S45" s="94" t="n"/>
      <c r="T45" s="52" t="n"/>
      <c r="U45" s="94" t="n"/>
      <c r="V45" s="52" t="n"/>
      <c r="W45" s="94" t="n"/>
      <c r="X45" s="52" t="n"/>
      <c r="Y45" s="94" t="n"/>
      <c r="Z45" s="52" t="n"/>
      <c r="AA45" s="94" t="n"/>
      <c r="AB45" s="52" t="n"/>
      <c r="AC45" s="94" t="n"/>
      <c r="AD45" s="52" t="n"/>
      <c r="AE45" s="94" t="n"/>
      <c r="AF45" s="52" t="n"/>
      <c r="AG45" s="94" t="n"/>
      <c r="AH45" s="52" t="n"/>
      <c r="AI45" s="94" t="n"/>
      <c r="AJ45" s="52" t="n"/>
      <c r="AK45" s="94" t="n"/>
      <c r="AL45" s="52" t="n"/>
      <c r="AM45" s="94" t="n"/>
      <c r="AN45" s="52" t="n"/>
      <c r="AO45" s="94" t="n"/>
      <c r="AP45" s="52" t="n"/>
      <c r="AQ45" s="94" t="n"/>
      <c r="AR45" s="52" t="n"/>
      <c r="AS45" s="94" t="n"/>
      <c r="AT45" s="52" t="n"/>
      <c r="AU45" s="94" t="n"/>
      <c r="AV45" s="52" t="n"/>
      <c r="AW45" s="94" t="n"/>
      <c r="AX45" s="52" t="n"/>
      <c r="AY45" s="94" t="n"/>
      <c r="AZ45" s="52" t="n"/>
      <c r="BA45" s="94" t="n"/>
      <c r="BB45" s="52" t="n"/>
      <c r="BC45" s="94" t="n"/>
      <c r="BD45" s="52" t="n"/>
      <c r="BE45" s="94" t="n"/>
    </row>
    <row r="46" ht="20.25" customHeight="1" s="58">
      <c r="A46" s="83" t="n"/>
      <c r="C46" s="47" t="n"/>
      <c r="D46" s="88" t="inlineStr">
        <is>
          <t>Rideshare &amp; Delivery</t>
        </is>
      </c>
      <c r="E46" s="88">
        <f>SUMIF($G$1:$AS$1,TRUE,$G46:$AS46)</f>
        <v/>
      </c>
      <c r="F46" s="1" t="inlineStr">
        <is>
          <t>Uber One &amp; Cash</t>
        </is>
      </c>
      <c r="G46" s="104" t="n">
        <v>200</v>
      </c>
      <c r="H46" s="1" t="inlineStr">
        <is>
          <t>Uber Cash &amp; Grubhub</t>
        </is>
      </c>
      <c r="I46" s="104" t="n">
        <v>240</v>
      </c>
      <c r="J46" s="50" t="n"/>
      <c r="K46" s="93" t="n"/>
      <c r="L46" s="50" t="n"/>
      <c r="M46" s="93" t="n"/>
      <c r="N46" s="88" t="inlineStr">
        <is>
          <t>DoorDash &amp; Lyft</t>
        </is>
      </c>
      <c r="O46" s="104" t="n">
        <v>75</v>
      </c>
      <c r="P46" s="50" t="inlineStr">
        <is>
          <t>DashPass &amp; Lyft</t>
        </is>
      </c>
      <c r="Q46" s="93" t="n">
        <v>0</v>
      </c>
      <c r="R46" s="50" t="inlineStr">
        <is>
          <t>DashPass &amp; Lyft</t>
        </is>
      </c>
      <c r="S46" s="93" t="n">
        <v>0</v>
      </c>
      <c r="T46" s="50" t="n"/>
      <c r="U46" s="93" t="n"/>
      <c r="V46" s="50" t="n"/>
      <c r="W46" s="93" t="n"/>
      <c r="X46" s="50" t="n"/>
      <c r="Y46" s="93" t="n"/>
      <c r="Z46" s="50" t="n"/>
      <c r="AA46" s="93" t="n"/>
      <c r="AB46" s="50" t="n"/>
      <c r="AC46" s="93" t="n"/>
      <c r="AD46" s="50" t="n"/>
      <c r="AE46" s="93" t="n"/>
      <c r="AF46" s="50" t="n"/>
      <c r="AG46" s="93" t="n"/>
      <c r="AH46" s="50" t="n"/>
      <c r="AI46" s="93" t="n"/>
      <c r="AJ46" s="50" t="n"/>
      <c r="AK46" s="93" t="n"/>
      <c r="AL46" s="50" t="n"/>
      <c r="AM46" s="93" t="n"/>
      <c r="AN46" s="50" t="n"/>
      <c r="AO46" s="93" t="n"/>
      <c r="AP46" s="50" t="n"/>
      <c r="AQ46" s="93" t="n"/>
      <c r="AR46" s="50" t="n"/>
      <c r="AS46" s="93" t="n"/>
      <c r="AT46" s="50" t="inlineStr">
        <is>
          <t>Uber One</t>
        </is>
      </c>
      <c r="AU46" s="93" t="n">
        <v>0</v>
      </c>
      <c r="AV46" s="50" t="n"/>
      <c r="AW46" s="93" t="n"/>
      <c r="AX46" s="50" t="inlineStr">
        <is>
          <t>Rideshare</t>
        </is>
      </c>
      <c r="AY46" s="93" t="n">
        <v>120</v>
      </c>
      <c r="AZ46" s="50" t="inlineStr">
        <is>
          <t>Rideshare</t>
        </is>
      </c>
      <c r="BA46" s="93" t="n">
        <v>120</v>
      </c>
      <c r="BB46" s="50" t="n"/>
      <c r="BC46" s="93" t="n"/>
      <c r="BD46" s="50" t="n"/>
      <c r="BE46" s="93" t="n"/>
    </row>
    <row r="47" ht="20.25" customHeight="1" s="58">
      <c r="A47" s="80" t="n"/>
      <c r="D47" s="91" t="inlineStr">
        <is>
          <t>Live Entertainment</t>
        </is>
      </c>
      <c r="E47" s="91">
        <f>SUMIF($G$1:$AS$1,TRUE,$G47:$AS47)</f>
        <v/>
      </c>
      <c r="F47" s="3" t="inlineStr">
        <is>
          <t>AmEx Event Access</t>
        </is>
      </c>
      <c r="G47" s="94" t="n">
        <v>0</v>
      </c>
      <c r="H47" s="53" t="n"/>
      <c r="I47" s="94" t="n"/>
      <c r="J47" s="52" t="n"/>
      <c r="K47" s="94" t="n"/>
      <c r="L47" s="52" t="n"/>
      <c r="M47" s="94" t="n"/>
      <c r="N47" s="3" t="inlineStr">
        <is>
          <t>StubHub</t>
        </is>
      </c>
      <c r="O47" s="105" t="n">
        <v>300</v>
      </c>
      <c r="P47" s="52" t="n"/>
      <c r="Q47" s="94" t="n"/>
      <c r="R47" s="52" t="n"/>
      <c r="S47" s="94" t="n"/>
      <c r="T47" s="52" t="n"/>
      <c r="U47" s="94" t="n"/>
      <c r="V47" s="52" t="n"/>
      <c r="W47" s="94" t="n"/>
      <c r="X47" s="52" t="n"/>
      <c r="Y47" s="94" t="n"/>
      <c r="Z47" s="52" t="n"/>
      <c r="AA47" s="94" t="n"/>
      <c r="AB47" s="52" t="n"/>
      <c r="AC47" s="94" t="n"/>
      <c r="AD47" s="52" t="n"/>
      <c r="AE47" s="94" t="n"/>
      <c r="AF47" s="52" t="n"/>
      <c r="AG47" s="94" t="n"/>
      <c r="AH47" s="52" t="n"/>
      <c r="AI47" s="94" t="n"/>
      <c r="AJ47" s="52" t="n"/>
      <c r="AK47" s="94" t="n"/>
      <c r="AL47" s="52" t="n"/>
      <c r="AM47" s="94" t="n"/>
      <c r="AN47" s="52" t="n"/>
      <c r="AO47" s="94" t="n"/>
      <c r="AP47" s="52" t="n"/>
      <c r="AQ47" s="94" t="n"/>
      <c r="AR47" s="52" t="n"/>
      <c r="AS47" s="94" t="n"/>
      <c r="AT47" s="52" t="n"/>
      <c r="AU47" s="94" t="n"/>
      <c r="AV47" s="52" t="n"/>
      <c r="AW47" s="94" t="n"/>
      <c r="AX47" s="52" t="n"/>
      <c r="AY47" s="94" t="n"/>
      <c r="AZ47" s="52" t="n"/>
      <c r="BA47" s="94" t="n"/>
      <c r="BB47" s="52" t="n"/>
      <c r="BC47" s="94" t="n"/>
      <c r="BD47" s="52" t="n"/>
      <c r="BE47" s="94" t="n"/>
    </row>
    <row r="48" ht="20.25" customHeight="1" s="58">
      <c r="A48" s="83" t="n"/>
      <c r="C48" s="47" t="n"/>
      <c r="D48" s="88" t="inlineStr">
        <is>
          <t>Miscellaneous</t>
        </is>
      </c>
      <c r="E48" s="88">
        <f>SUMIF($G$1:$AS$1,TRUE,$G48:$AS48)</f>
        <v/>
      </c>
      <c r="F48" s="1" t="inlineStr">
        <is>
          <t>Oura, Lululemon</t>
        </is>
      </c>
      <c r="G48" s="104" t="n">
        <v>75</v>
      </c>
      <c r="H48" s="56" t="n"/>
      <c r="I48" s="93" t="n"/>
      <c r="J48" s="50" t="inlineStr">
        <is>
          <t>Fedex, Grubhub, Office</t>
        </is>
      </c>
      <c r="K48" s="93" t="n">
        <v>120</v>
      </c>
      <c r="L48" s="50" t="n"/>
      <c r="M48" s="93" t="n"/>
      <c r="N48" s="1" t="inlineStr">
        <is>
          <t>Peloton</t>
        </is>
      </c>
      <c r="O48" s="104" t="n">
        <v>0</v>
      </c>
      <c r="P48" s="50" t="n"/>
      <c r="Q48" s="93" t="n"/>
      <c r="R48" s="50" t="n"/>
      <c r="S48" s="93" t="n"/>
      <c r="T48" s="50" t="n"/>
      <c r="U48" s="93" t="n"/>
      <c r="V48" s="50" t="n"/>
      <c r="W48" s="93" t="n"/>
      <c r="X48" s="50" t="n"/>
      <c r="Y48" s="93" t="n"/>
      <c r="Z48" s="50" t="n"/>
      <c r="AA48" s="93" t="n"/>
      <c r="AB48" s="50" t="n"/>
      <c r="AC48" s="93" t="n"/>
      <c r="AD48" s="50" t="inlineStr">
        <is>
          <t>Best Buy, AA, etc.</t>
        </is>
      </c>
      <c r="AE48" s="93" t="n">
        <v>200</v>
      </c>
      <c r="AF48" s="50" t="n"/>
      <c r="AG48" s="93" t="n"/>
      <c r="AH48" s="50" t="n"/>
      <c r="AI48" s="93" t="n"/>
      <c r="AJ48" s="50" t="n"/>
      <c r="AK48" s="93" t="n"/>
      <c r="AL48" s="50" t="n"/>
      <c r="AM48" s="93" t="n"/>
      <c r="AN48" s="50" t="n"/>
      <c r="AO48" s="93" t="n"/>
      <c r="AP48" s="50" t="n"/>
      <c r="AQ48" s="93" t="n"/>
      <c r="AR48" s="50" t="n"/>
      <c r="AS48" s="93" t="n"/>
      <c r="AT48" s="50" t="inlineStr">
        <is>
          <t>Pay With Miles</t>
        </is>
      </c>
      <c r="AU48" s="93" t="n">
        <v>150</v>
      </c>
      <c r="AV48" s="50" t="inlineStr">
        <is>
          <t>Pay With Miles</t>
        </is>
      </c>
      <c r="AW48" s="93" t="n">
        <v>150</v>
      </c>
      <c r="AX48" s="50" t="inlineStr">
        <is>
          <t>Pay With Miles</t>
        </is>
      </c>
      <c r="AY48" s="93" t="n">
        <v>150</v>
      </c>
      <c r="AZ48" s="50" t="inlineStr">
        <is>
          <t>Pay With Miles</t>
        </is>
      </c>
      <c r="BA48" s="93" t="n">
        <v>150</v>
      </c>
      <c r="BB48" s="50" t="inlineStr">
        <is>
          <t>Free Night after $15k</t>
        </is>
      </c>
      <c r="BC48" s="93" t="n">
        <v>0</v>
      </c>
      <c r="BD48" s="50" t="inlineStr">
        <is>
          <t>Free Night</t>
        </is>
      </c>
      <c r="BE48" s="93" t="n">
        <v>750</v>
      </c>
    </row>
  </sheetData>
  <mergeCells count="480">
    <mergeCell ref="V2:W2"/>
    <mergeCell ref="X2:Y2"/>
    <mergeCell ref="F16:G16"/>
    <mergeCell ref="A21:C21"/>
    <mergeCell ref="H9:I9"/>
    <mergeCell ref="J9:K9"/>
    <mergeCell ref="AT3:AU3"/>
    <mergeCell ref="BD3:BE3"/>
    <mergeCell ref="AV3:AW3"/>
    <mergeCell ref="A23:C23"/>
    <mergeCell ref="P6:Q6"/>
    <mergeCell ref="R6:S6"/>
    <mergeCell ref="AZ5:BA5"/>
    <mergeCell ref="BB5:BC5"/>
    <mergeCell ref="BD5:BE5"/>
    <mergeCell ref="AT5:AU5"/>
    <mergeCell ref="J4:K4"/>
    <mergeCell ref="AL12:AM12"/>
    <mergeCell ref="L4:M4"/>
    <mergeCell ref="AF15:AG15"/>
    <mergeCell ref="V15:W15"/>
    <mergeCell ref="AN12:AO12"/>
    <mergeCell ref="X15:Y15"/>
    <mergeCell ref="AF12:AG12"/>
    <mergeCell ref="BB6:BC6"/>
    <mergeCell ref="BD6:BE6"/>
    <mergeCell ref="AL14:AM14"/>
    <mergeCell ref="AN14:AO14"/>
    <mergeCell ref="AN7:AO7"/>
    <mergeCell ref="A28:B28"/>
    <mergeCell ref="AP7:AQ7"/>
    <mergeCell ref="R18:S18"/>
    <mergeCell ref="BB16:BC16"/>
    <mergeCell ref="AT16:AU16"/>
    <mergeCell ref="AV16:AW16"/>
    <mergeCell ref="V8:W8"/>
    <mergeCell ref="X8:Y8"/>
    <mergeCell ref="BB18:BC18"/>
    <mergeCell ref="AT18:AU18"/>
    <mergeCell ref="BD18:BE18"/>
    <mergeCell ref="AV18:AW18"/>
    <mergeCell ref="T10:U10"/>
    <mergeCell ref="V10:W10"/>
    <mergeCell ref="BD17:BE17"/>
    <mergeCell ref="F18:G18"/>
    <mergeCell ref="A29:C29"/>
    <mergeCell ref="X3:Y3"/>
    <mergeCell ref="F17:G17"/>
    <mergeCell ref="Z3:AA3"/>
    <mergeCell ref="H17:I17"/>
    <mergeCell ref="H11:I11"/>
    <mergeCell ref="J11:K11"/>
    <mergeCell ref="AF2:AG2"/>
    <mergeCell ref="X5:Y5"/>
    <mergeCell ref="Z5:AA5"/>
    <mergeCell ref="AV9:AW9"/>
    <mergeCell ref="A24:C24"/>
    <mergeCell ref="H12:I12"/>
    <mergeCell ref="AR17:AS17"/>
    <mergeCell ref="J12:K12"/>
    <mergeCell ref="AR11:AS11"/>
    <mergeCell ref="AV6:AW6"/>
    <mergeCell ref="AT11:AU11"/>
    <mergeCell ref="P14:Q14"/>
    <mergeCell ref="R14:S14"/>
    <mergeCell ref="H14:I14"/>
    <mergeCell ref="AN13:AO13"/>
    <mergeCell ref="AV4:AW4"/>
    <mergeCell ref="A34:B34"/>
    <mergeCell ref="AP13:AQ13"/>
    <mergeCell ref="AX4:AY4"/>
    <mergeCell ref="AL15:AM15"/>
    <mergeCell ref="AN15:AO15"/>
    <mergeCell ref="A36:B36"/>
    <mergeCell ref="A1:B1"/>
    <mergeCell ref="AP8:AQ8"/>
    <mergeCell ref="AR8:AS8"/>
    <mergeCell ref="X16:Y16"/>
    <mergeCell ref="Z16:AA16"/>
    <mergeCell ref="AB16:AC16"/>
    <mergeCell ref="AP10:AQ10"/>
    <mergeCell ref="X18:Y18"/>
    <mergeCell ref="AR10:AS10"/>
    <mergeCell ref="AB9:AC9"/>
    <mergeCell ref="Z18:AA18"/>
    <mergeCell ref="AX17:AY17"/>
    <mergeCell ref="Z17:AA17"/>
    <mergeCell ref="AB11:AC11"/>
    <mergeCell ref="AD11:AE11"/>
    <mergeCell ref="AF8:AG8"/>
    <mergeCell ref="AH2:AI2"/>
    <mergeCell ref="J2:K2"/>
    <mergeCell ref="R9:S9"/>
    <mergeCell ref="AF3:AG3"/>
    <mergeCell ref="AH3:AI3"/>
    <mergeCell ref="Z6:AA6"/>
    <mergeCell ref="AB6:AC6"/>
    <mergeCell ref="J14:K14"/>
    <mergeCell ref="R11:S11"/>
    <mergeCell ref="R13:S13"/>
    <mergeCell ref="J13:K13"/>
    <mergeCell ref="AH5:AI5"/>
    <mergeCell ref="L13:M13"/>
    <mergeCell ref="R4:S4"/>
    <mergeCell ref="AT12:AU12"/>
    <mergeCell ref="T4:U4"/>
    <mergeCell ref="AB4:AC4"/>
    <mergeCell ref="AV12:AW12"/>
    <mergeCell ref="BD9:BE9"/>
    <mergeCell ref="V4:W4"/>
    <mergeCell ref="R15:S15"/>
    <mergeCell ref="J15:K15"/>
    <mergeCell ref="L15:M15"/>
    <mergeCell ref="AT14:AU14"/>
    <mergeCell ref="AV14:AW14"/>
    <mergeCell ref="AV13:AW13"/>
    <mergeCell ref="BD4:BE4"/>
    <mergeCell ref="AX13:AY13"/>
    <mergeCell ref="AX7:AY7"/>
    <mergeCell ref="AZ7:BA7"/>
    <mergeCell ref="AT15:AU15"/>
    <mergeCell ref="AB17:AC17"/>
    <mergeCell ref="A45:C45"/>
    <mergeCell ref="AX8:AY8"/>
    <mergeCell ref="AZ8:BA8"/>
    <mergeCell ref="AP16:AQ16"/>
    <mergeCell ref="AZ2:BA2"/>
    <mergeCell ref="AH16:AI16"/>
    <mergeCell ref="BB2:BC2"/>
    <mergeCell ref="AJ16:AK16"/>
    <mergeCell ref="AR3:AS3"/>
    <mergeCell ref="H8:I8"/>
    <mergeCell ref="J8:K8"/>
    <mergeCell ref="L2:M2"/>
    <mergeCell ref="AP18:AQ18"/>
    <mergeCell ref="AF18:AG18"/>
    <mergeCell ref="AR18:AS18"/>
    <mergeCell ref="H10:I10"/>
    <mergeCell ref="J10:K10"/>
    <mergeCell ref="L3:M3"/>
    <mergeCell ref="N3:O3"/>
    <mergeCell ref="L5:M5"/>
    <mergeCell ref="N5:O5"/>
    <mergeCell ref="R12:S12"/>
    <mergeCell ref="T12:U12"/>
    <mergeCell ref="AP6:AQ6"/>
    <mergeCell ref="AR6:AS6"/>
    <mergeCell ref="AH6:AI6"/>
    <mergeCell ref="AJ6:AK6"/>
    <mergeCell ref="Z13:AA13"/>
    <mergeCell ref="AB13:AC13"/>
    <mergeCell ref="AJ4:AK4"/>
    <mergeCell ref="AB7:AC7"/>
    <mergeCell ref="AL4:AM4"/>
    <mergeCell ref="T7:U7"/>
    <mergeCell ref="AV15:AW15"/>
    <mergeCell ref="AD7:AE7"/>
    <mergeCell ref="AX15:AY15"/>
    <mergeCell ref="Z15:AA15"/>
    <mergeCell ref="AD8:AE8"/>
    <mergeCell ref="L16:M16"/>
    <mergeCell ref="N16:O16"/>
    <mergeCell ref="AX10:AY10"/>
    <mergeCell ref="AZ10:BA10"/>
    <mergeCell ref="F6:G6"/>
    <mergeCell ref="A3:C3"/>
    <mergeCell ref="AH18:AI18"/>
    <mergeCell ref="P9:Q9"/>
    <mergeCell ref="AH17:AI17"/>
    <mergeCell ref="AJ17:AK17"/>
    <mergeCell ref="A5:C5"/>
    <mergeCell ref="A46:B46"/>
    <mergeCell ref="P11:Q11"/>
    <mergeCell ref="A26:B26"/>
    <mergeCell ref="T2:U2"/>
    <mergeCell ref="F9:G9"/>
    <mergeCell ref="L6:M6"/>
    <mergeCell ref="N6:O6"/>
    <mergeCell ref="AD4:AE4"/>
    <mergeCell ref="N4:O4"/>
    <mergeCell ref="P4:Q4"/>
    <mergeCell ref="F4:G4"/>
    <mergeCell ref="AH12:AI12"/>
    <mergeCell ref="AB15:AC15"/>
    <mergeCell ref="AJ12:AK12"/>
    <mergeCell ref="T15:U15"/>
    <mergeCell ref="AX6:AY6"/>
    <mergeCell ref="A18:C18"/>
    <mergeCell ref="AZ6:BA6"/>
    <mergeCell ref="AH14:AI14"/>
    <mergeCell ref="AJ14:AK14"/>
    <mergeCell ref="A47:C47"/>
    <mergeCell ref="AJ7:AK7"/>
    <mergeCell ref="AD10:AE10"/>
    <mergeCell ref="AL7:AM7"/>
    <mergeCell ref="A22:C22"/>
    <mergeCell ref="L18:M18"/>
    <mergeCell ref="AF10:AG10"/>
    <mergeCell ref="N18:O18"/>
    <mergeCell ref="N17:O17"/>
    <mergeCell ref="P17:Q17"/>
    <mergeCell ref="AR16:AS16"/>
    <mergeCell ref="AN2:AO2"/>
    <mergeCell ref="AF5:AG5"/>
    <mergeCell ref="T8:U8"/>
    <mergeCell ref="AP2:AQ2"/>
    <mergeCell ref="BB9:BC9"/>
    <mergeCell ref="AZ18:BA18"/>
    <mergeCell ref="AT9:AU9"/>
    <mergeCell ref="P12:Q12"/>
    <mergeCell ref="AZ17:BA17"/>
    <mergeCell ref="BB17:BC17"/>
    <mergeCell ref="AZ11:BA11"/>
    <mergeCell ref="BB11:BC11"/>
    <mergeCell ref="T3:U3"/>
    <mergeCell ref="V3:W3"/>
    <mergeCell ref="F11:G11"/>
    <mergeCell ref="T5:U5"/>
    <mergeCell ref="BB12:BC12"/>
    <mergeCell ref="V5:W5"/>
    <mergeCell ref="H4:I4"/>
    <mergeCell ref="F12:G12"/>
    <mergeCell ref="AD6:AE6"/>
    <mergeCell ref="A17:C17"/>
    <mergeCell ref="AJ13:AK13"/>
    <mergeCell ref="AR4:AS4"/>
    <mergeCell ref="AL13:AM13"/>
    <mergeCell ref="AT4:AU4"/>
    <mergeCell ref="A19:C19"/>
    <mergeCell ref="P7:Q7"/>
    <mergeCell ref="AH15:AI15"/>
    <mergeCell ref="H7:I7"/>
    <mergeCell ref="AJ15:AK15"/>
    <mergeCell ref="J7:K7"/>
    <mergeCell ref="AL8:AM8"/>
    <mergeCell ref="AN8:AO8"/>
    <mergeCell ref="T16:U16"/>
    <mergeCell ref="V16:W16"/>
    <mergeCell ref="R2:S2"/>
    <mergeCell ref="A44:B44"/>
    <mergeCell ref="AL10:AM10"/>
    <mergeCell ref="T18:U18"/>
    <mergeCell ref="AN10:AO10"/>
    <mergeCell ref="X9:Y9"/>
    <mergeCell ref="A31:B31"/>
    <mergeCell ref="V18:W18"/>
    <mergeCell ref="Z9:AA9"/>
    <mergeCell ref="AT17:AU17"/>
    <mergeCell ref="AD17:AE17"/>
    <mergeCell ref="AN3:AO3"/>
    <mergeCell ref="V17:W17"/>
    <mergeCell ref="A37:C37"/>
    <mergeCell ref="AP3:AQ3"/>
    <mergeCell ref="X11:Y11"/>
    <mergeCell ref="Z11:AA11"/>
    <mergeCell ref="AN5:AO5"/>
    <mergeCell ref="AP5:AQ5"/>
    <mergeCell ref="BD12:BE12"/>
    <mergeCell ref="BB14:BC14"/>
    <mergeCell ref="BD14:BE14"/>
    <mergeCell ref="A43:C43"/>
    <mergeCell ref="V6:W6"/>
    <mergeCell ref="BD13:BE13"/>
    <mergeCell ref="X6:Y6"/>
    <mergeCell ref="A42:B42"/>
    <mergeCell ref="F13:G13"/>
    <mergeCell ref="P13:Q13"/>
    <mergeCell ref="BD15:BE15"/>
    <mergeCell ref="H13:I13"/>
    <mergeCell ref="AR12:AS12"/>
    <mergeCell ref="N15:O15"/>
    <mergeCell ref="P15:Q15"/>
    <mergeCell ref="H15:I15"/>
    <mergeCell ref="R8:S8"/>
    <mergeCell ref="A48:B48"/>
    <mergeCell ref="AT13:AU13"/>
    <mergeCell ref="AR7:AS7"/>
    <mergeCell ref="AT7:AU7"/>
    <mergeCell ref="AV7:AW7"/>
    <mergeCell ref="P10:Q10"/>
    <mergeCell ref="R10:S10"/>
    <mergeCell ref="X17:Y17"/>
    <mergeCell ref="BB8:BC8"/>
    <mergeCell ref="AT8:AU8"/>
    <mergeCell ref="BD8:BE8"/>
    <mergeCell ref="AV8:AW8"/>
    <mergeCell ref="BD2:BE2"/>
    <mergeCell ref="AV2:AW2"/>
    <mergeCell ref="AX2:AY2"/>
    <mergeCell ref="AF16:AG16"/>
    <mergeCell ref="AF6:AG6"/>
    <mergeCell ref="AF9:AG9"/>
    <mergeCell ref="Z12:AA12"/>
    <mergeCell ref="A13:C13"/>
    <mergeCell ref="AH9:AI9"/>
    <mergeCell ref="AB12:AC12"/>
    <mergeCell ref="BD11:BE11"/>
    <mergeCell ref="AF14:AG14"/>
    <mergeCell ref="AN11:AO11"/>
    <mergeCell ref="X14:Y14"/>
    <mergeCell ref="AF11:AG11"/>
    <mergeCell ref="AP11:AQ11"/>
    <mergeCell ref="Z14:AA14"/>
    <mergeCell ref="A15:C15"/>
    <mergeCell ref="AH11:AI11"/>
    <mergeCell ref="H3:I3"/>
    <mergeCell ref="J3:K3"/>
    <mergeCell ref="H5:I5"/>
    <mergeCell ref="AN6:AO6"/>
    <mergeCell ref="V13:W13"/>
    <mergeCell ref="X13:Y13"/>
    <mergeCell ref="X7:Y7"/>
    <mergeCell ref="AF4:AG4"/>
    <mergeCell ref="Z7:AA7"/>
    <mergeCell ref="AH4:AI4"/>
    <mergeCell ref="R7:S7"/>
    <mergeCell ref="Z8:AA8"/>
    <mergeCell ref="Z2:AA2"/>
    <mergeCell ref="H16:I16"/>
    <mergeCell ref="AB2:AC2"/>
    <mergeCell ref="J16:K16"/>
    <mergeCell ref="AT10:AU10"/>
    <mergeCell ref="AD2:AE2"/>
    <mergeCell ref="AV10:AW10"/>
    <mergeCell ref="AL17:AM17"/>
    <mergeCell ref="L9:M9"/>
    <mergeCell ref="AN17:AO17"/>
    <mergeCell ref="N9:O9"/>
    <mergeCell ref="A38:B38"/>
    <mergeCell ref="AX3:AY3"/>
    <mergeCell ref="AP17:AQ17"/>
    <mergeCell ref="AZ3:BA3"/>
    <mergeCell ref="AF17:AG17"/>
    <mergeCell ref="T6:U6"/>
    <mergeCell ref="L11:M11"/>
    <mergeCell ref="AV5:AW5"/>
    <mergeCell ref="F14:G14"/>
    <mergeCell ref="A40:B40"/>
    <mergeCell ref="AX5:AY5"/>
    <mergeCell ref="A41:C41"/>
    <mergeCell ref="AP12:AQ12"/>
    <mergeCell ref="J5:K5"/>
    <mergeCell ref="A27:C27"/>
    <mergeCell ref="AP14:AQ14"/>
    <mergeCell ref="AR14:AS14"/>
    <mergeCell ref="H6:I6"/>
    <mergeCell ref="J6:K6"/>
    <mergeCell ref="AX16:AY16"/>
    <mergeCell ref="AZ16:BA16"/>
    <mergeCell ref="A9:C9"/>
    <mergeCell ref="AB8:AC8"/>
    <mergeCell ref="AX18:AY18"/>
    <mergeCell ref="A11:C11"/>
    <mergeCell ref="X10:Y10"/>
    <mergeCell ref="AF7:AG7"/>
    <mergeCell ref="Z10:AA10"/>
    <mergeCell ref="AH7:AI7"/>
    <mergeCell ref="H18:I18"/>
    <mergeCell ref="AB10:AC10"/>
    <mergeCell ref="J18:K18"/>
    <mergeCell ref="J17:K17"/>
    <mergeCell ref="AB3:AC3"/>
    <mergeCell ref="AD3:AE3"/>
    <mergeCell ref="L17:M17"/>
    <mergeCell ref="N11:O11"/>
    <mergeCell ref="AJ2:AK2"/>
    <mergeCell ref="AB5:AC5"/>
    <mergeCell ref="AL2:AM2"/>
    <mergeCell ref="AD5:AE5"/>
    <mergeCell ref="AX9:AY9"/>
    <mergeCell ref="AZ9:BA9"/>
    <mergeCell ref="AP9:AQ9"/>
    <mergeCell ref="AR9:AS9"/>
    <mergeCell ref="L12:M12"/>
    <mergeCell ref="AV17:AW17"/>
    <mergeCell ref="F15:G15"/>
    <mergeCell ref="N12:O12"/>
    <mergeCell ref="AV11:AW11"/>
    <mergeCell ref="AX11:AY11"/>
    <mergeCell ref="L14:M14"/>
    <mergeCell ref="N14:O14"/>
    <mergeCell ref="AR13:AS13"/>
    <mergeCell ref="AZ4:BA4"/>
    <mergeCell ref="BB4:BC4"/>
    <mergeCell ref="AP15:AQ15"/>
    <mergeCell ref="AX12:AY12"/>
    <mergeCell ref="AR15:AS15"/>
    <mergeCell ref="AD16:AE16"/>
    <mergeCell ref="AF13:AG13"/>
    <mergeCell ref="AH13:AI13"/>
    <mergeCell ref="AB18:AC18"/>
    <mergeCell ref="AP4:AQ4"/>
    <mergeCell ref="AD18:AE18"/>
    <mergeCell ref="L7:M7"/>
    <mergeCell ref="F10:G10"/>
    <mergeCell ref="N7:O7"/>
    <mergeCell ref="AH8:AI8"/>
    <mergeCell ref="AJ8:AK8"/>
    <mergeCell ref="R16:S16"/>
    <mergeCell ref="N2:O2"/>
    <mergeCell ref="F5:G5"/>
    <mergeCell ref="P2:Q2"/>
    <mergeCell ref="AH10:AI10"/>
    <mergeCell ref="AJ10:AK10"/>
    <mergeCell ref="T9:U9"/>
    <mergeCell ref="V9:W9"/>
    <mergeCell ref="AJ3:AK3"/>
    <mergeCell ref="AL3:AM3"/>
    <mergeCell ref="T11:U11"/>
    <mergeCell ref="BD16:BE16"/>
    <mergeCell ref="V11:W11"/>
    <mergeCell ref="AR5:AS5"/>
    <mergeCell ref="AJ5:AK5"/>
    <mergeCell ref="N13:O13"/>
    <mergeCell ref="AL5:AM5"/>
    <mergeCell ref="X4:Y4"/>
    <mergeCell ref="AZ12:BA12"/>
    <mergeCell ref="Z4:AA4"/>
    <mergeCell ref="AX14:AY14"/>
    <mergeCell ref="AZ14:BA14"/>
    <mergeCell ref="A7:C7"/>
    <mergeCell ref="A25:C25"/>
    <mergeCell ref="AZ13:BA13"/>
    <mergeCell ref="BB13:BC13"/>
    <mergeCell ref="BB7:BC7"/>
    <mergeCell ref="BD7:BE7"/>
    <mergeCell ref="AZ15:BA15"/>
    <mergeCell ref="F7:G7"/>
    <mergeCell ref="AL16:AM16"/>
    <mergeCell ref="AN16:AO16"/>
    <mergeCell ref="L8:M8"/>
    <mergeCell ref="A20:C20"/>
    <mergeCell ref="N8:O8"/>
    <mergeCell ref="F8:G8"/>
    <mergeCell ref="F2:G2"/>
    <mergeCell ref="AJ18:AK18"/>
    <mergeCell ref="H2:I2"/>
    <mergeCell ref="AL18:AM18"/>
    <mergeCell ref="L10:M10"/>
    <mergeCell ref="N10:O10"/>
    <mergeCell ref="R17:S17"/>
    <mergeCell ref="T17:U17"/>
    <mergeCell ref="P3:Q3"/>
    <mergeCell ref="AR2:AS2"/>
    <mergeCell ref="AT2:AU2"/>
    <mergeCell ref="P5:Q5"/>
    <mergeCell ref="R5:S5"/>
    <mergeCell ref="AJ9:AK9"/>
    <mergeCell ref="AD12:AE12"/>
    <mergeCell ref="AL9:AM9"/>
    <mergeCell ref="V12:W12"/>
    <mergeCell ref="AN9:AO9"/>
    <mergeCell ref="AD9:AE9"/>
    <mergeCell ref="X12:Y12"/>
    <mergeCell ref="AT6:AU6"/>
    <mergeCell ref="BB3:BC3"/>
    <mergeCell ref="AL6:AM6"/>
    <mergeCell ref="AB14:AC14"/>
    <mergeCell ref="AJ11:AK11"/>
    <mergeCell ref="T14:U14"/>
    <mergeCell ref="AD14:AE14"/>
    <mergeCell ref="AL11:AM11"/>
    <mergeCell ref="V14:W14"/>
    <mergeCell ref="AD13:AE13"/>
    <mergeCell ref="F3:G3"/>
    <mergeCell ref="A33:C33"/>
    <mergeCell ref="AN4:AO4"/>
    <mergeCell ref="BB15:BC15"/>
    <mergeCell ref="P8:Q8"/>
    <mergeCell ref="AD15:AE15"/>
    <mergeCell ref="A35:C35"/>
    <mergeCell ref="P16:Q16"/>
    <mergeCell ref="BB10:BC10"/>
    <mergeCell ref="BD10:BE10"/>
    <mergeCell ref="R3:S3"/>
    <mergeCell ref="A39:C39"/>
    <mergeCell ref="AN18:AO18"/>
    <mergeCell ref="T13:U13"/>
    <mergeCell ref="P18:Q18"/>
    <mergeCell ref="V7:W7"/>
  </mergeCells>
  <dataValidations count="1">
    <dataValidation sqref="C1" showDropDown="0" showInputMessage="0" showErrorMessage="1" allowBlank="1" type="list">
      <formula1>"1,2,3"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2026-03-04T03:23:59Z</dcterms:created>
  <dcterms:modified xmlns:dcterms="http://purl.org/dc/terms/" xmlns:xsi="http://www.w3.org/2001/XMLSchema-instance" xsi:type="dcterms:W3CDTF">2026-03-04T03:30:09Z</dcterms:modified>
  <cp:lastModifiedBy>Ryan Liao</cp:lastModifiedBy>
</cp:coreProperties>
</file>